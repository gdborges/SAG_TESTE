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avecom\"/>
    </mc:Choice>
  </mc:AlternateContent>
  <xr:revisionPtr revIDLastSave="0" documentId="13_ncr:1_{16668A6F-CC31-4C62-9BDB-A65A851DDC49}" xr6:coauthVersionLast="47" xr6:coauthVersionMax="47" xr10:uidLastSave="{00000000-0000-0000-0000-000000000000}"/>
  <bookViews>
    <workbookView xWindow="-120" yWindow="-120" windowWidth="20640" windowHeight="11160" xr2:uid="{F88F72D8-4CDF-4774-849B-4F911713DD3F}"/>
  </bookViews>
  <sheets>
    <sheet name="Planilh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" l="1"/>
  <c r="J11" i="4"/>
  <c r="J10" i="4"/>
  <c r="J9" i="4"/>
  <c r="J8" i="4"/>
  <c r="J7" i="4"/>
  <c r="J6" i="4"/>
  <c r="J5" i="4"/>
  <c r="J4" i="4"/>
  <c r="J3" i="4"/>
</calcChain>
</file>

<file path=xl/sharedStrings.xml><?xml version="1.0" encoding="utf-8"?>
<sst xmlns="http://schemas.openxmlformats.org/spreadsheetml/2006/main" count="29" uniqueCount="22">
  <si>
    <t xml:space="preserve">COBB                </t>
  </si>
  <si>
    <t xml:space="preserve">ROSS                </t>
  </si>
  <si>
    <t xml:space="preserve">HUBBARD             </t>
  </si>
  <si>
    <t>NRO_LOTE</t>
  </si>
  <si>
    <t>linhagem_femea</t>
  </si>
  <si>
    <t>IDADE</t>
  </si>
  <si>
    <t>saldo_femea</t>
  </si>
  <si>
    <t>viabilidade_standard</t>
  </si>
  <si>
    <t>viabilidade_real</t>
  </si>
  <si>
    <t>racao_femea_standard</t>
  </si>
  <si>
    <t>racao_femea</t>
  </si>
  <si>
    <t>postura_padrao</t>
  </si>
  <si>
    <t>postura_obtida</t>
  </si>
  <si>
    <t>ovo_ave_acum_standard</t>
  </si>
  <si>
    <t>ovo_ave_acum</t>
  </si>
  <si>
    <t>eclosao_padrao</t>
  </si>
  <si>
    <t>eclosao_real</t>
  </si>
  <si>
    <t>pinto_ave_acum_padrao</t>
  </si>
  <si>
    <t>pinto_ave_acum</t>
  </si>
  <si>
    <t>aprov_ovo_padrao_granja</t>
  </si>
  <si>
    <t>aproveitamento_granja</t>
  </si>
  <si>
    <t>aproveitamento_incubatorio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</si>
</sst>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7D6C-5039-4F78-9965-7125A274ABDC}">
  <dimension ref="A1:S11"/>
  <sheetViews>
    <sheetView tabSelected="1" workbookViewId="0">
      <selection activeCell="A11" sqref="A11"/>
    </sheetView>
  </sheetViews>
  <sheetFormatPr defaultRowHeight="15" x14ac:dyDescent="0.25"/>
  <cols>
    <col min="6" max="6" width="20.85546875" style="2" customWidth="1"/>
    <col min="10" max="10" width="18.28515625" style="2" customWidth="1"/>
    <col min="15" max="15" width="20.5703125" style="2" customWidth="1"/>
    <col min="17" max="17" width="17.7109375" customWidth="1"/>
    <col min="19" max="19" width="18.28515625" style="2" customWidth="1"/>
  </cols>
  <sheetData>
    <row r="1" spans="1:19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s="2" t="s">
        <v>8</v>
      </c>
      <c r="G1" t="s">
        <v>9</v>
      </c>
      <c r="H1" t="s">
        <v>10</v>
      </c>
      <c r="I1" t="s">
        <v>11</v>
      </c>
      <c r="J1" s="2" t="s">
        <v>12</v>
      </c>
      <c r="K1" t="s">
        <v>13</v>
      </c>
      <c r="L1" t="s">
        <v>14</v>
      </c>
      <c r="M1" t="s">
        <v>19</v>
      </c>
      <c r="N1" t="s">
        <v>20</v>
      </c>
      <c r="O1" s="2" t="s">
        <v>21</v>
      </c>
      <c r="P1" t="s">
        <v>15</v>
      </c>
      <c r="Q1" t="s">
        <v>16</v>
      </c>
      <c r="R1" t="s">
        <v>17</v>
      </c>
      <c r="S1" s="2" t="s">
        <v>18</v>
      </c>
    </row>
    <row r="2" spans="1:19" x14ac:dyDescent="0.25">
      <c r="A2">
        <v>100</v>
      </c>
      <c r="B2" t="s">
        <v>0</v>
      </c>
      <c r="C2">
        <v>46</v>
      </c>
      <c r="D2">
        <v>36824</v>
      </c>
      <c r="E2">
        <v>96.09</v>
      </c>
      <c r="F2" s="2">
        <v>94.82</v>
      </c>
      <c r="G2">
        <v>157</v>
      </c>
      <c r="H2">
        <v>167.3</v>
      </c>
      <c r="I2">
        <v>71</v>
      </c>
      <c r="J2" s="2">
        <f>66330000/1000000</f>
        <v>66.33</v>
      </c>
      <c r="K2">
        <v>107.4</v>
      </c>
      <c r="L2">
        <v>108</v>
      </c>
      <c r="M2">
        <v>97</v>
      </c>
      <c r="N2">
        <v>97</v>
      </c>
      <c r="O2" s="2">
        <v>99.08</v>
      </c>
      <c r="P2">
        <v>86.7</v>
      </c>
      <c r="Q2" s="1">
        <v>84.4</v>
      </c>
      <c r="R2">
        <v>78.400000000000006</v>
      </c>
      <c r="S2" s="2">
        <v>73.06</v>
      </c>
    </row>
    <row r="3" spans="1:19" x14ac:dyDescent="0.25">
      <c r="A3">
        <v>101</v>
      </c>
      <c r="B3" t="s">
        <v>1</v>
      </c>
      <c r="C3">
        <v>38</v>
      </c>
      <c r="D3">
        <v>102075</v>
      </c>
      <c r="E3">
        <v>97.15</v>
      </c>
      <c r="F3" s="2">
        <v>95.17</v>
      </c>
      <c r="G3">
        <v>167</v>
      </c>
      <c r="H3">
        <v>171.59</v>
      </c>
      <c r="I3">
        <v>81</v>
      </c>
      <c r="J3" s="2">
        <f>78650000/1000000</f>
        <v>78.650000000000006</v>
      </c>
      <c r="K3">
        <v>72.2</v>
      </c>
      <c r="L3">
        <v>71</v>
      </c>
      <c r="M3">
        <v>97.8</v>
      </c>
      <c r="N3">
        <v>98</v>
      </c>
      <c r="O3" s="2">
        <v>99.22</v>
      </c>
      <c r="P3">
        <v>90.44</v>
      </c>
      <c r="Q3" s="1">
        <v>87.7</v>
      </c>
      <c r="R3">
        <v>43.8</v>
      </c>
      <c r="S3" s="2">
        <v>42.05</v>
      </c>
    </row>
    <row r="4" spans="1:19" x14ac:dyDescent="0.25">
      <c r="A4">
        <v>102</v>
      </c>
      <c r="B4" t="s">
        <v>2</v>
      </c>
      <c r="C4">
        <v>30</v>
      </c>
      <c r="D4">
        <v>65446</v>
      </c>
      <c r="E4">
        <v>98.7</v>
      </c>
      <c r="F4" s="2">
        <v>98.53</v>
      </c>
      <c r="G4">
        <v>172</v>
      </c>
      <c r="H4">
        <v>173.45</v>
      </c>
      <c r="I4">
        <v>84.82</v>
      </c>
      <c r="J4" s="2">
        <f>83480000/1000000</f>
        <v>83.48</v>
      </c>
      <c r="K4">
        <v>22.3</v>
      </c>
      <c r="L4">
        <v>26</v>
      </c>
      <c r="M4">
        <v>96.13</v>
      </c>
      <c r="N4">
        <v>97</v>
      </c>
      <c r="O4" s="2">
        <v>99.04</v>
      </c>
      <c r="P4">
        <v>78</v>
      </c>
      <c r="Q4" s="1">
        <v>64.599999999999994</v>
      </c>
      <c r="R4">
        <v>0.9</v>
      </c>
      <c r="S4" s="2">
        <v>0.88</v>
      </c>
    </row>
    <row r="5" spans="1:19" x14ac:dyDescent="0.25">
      <c r="A5">
        <v>103</v>
      </c>
      <c r="B5" t="s">
        <v>0</v>
      </c>
      <c r="C5">
        <v>29</v>
      </c>
      <c r="D5">
        <v>23715</v>
      </c>
      <c r="E5">
        <v>98.98</v>
      </c>
      <c r="F5" s="2">
        <v>77.959999999999994</v>
      </c>
      <c r="G5">
        <v>164</v>
      </c>
      <c r="H5">
        <v>162.9</v>
      </c>
      <c r="I5">
        <v>83</v>
      </c>
      <c r="J5" s="2">
        <f>74510000/1000000</f>
        <v>74.510000000000005</v>
      </c>
      <c r="K5">
        <v>16.399999999999999</v>
      </c>
      <c r="L5">
        <v>12</v>
      </c>
      <c r="M5">
        <v>97.2</v>
      </c>
      <c r="N5">
        <v>95</v>
      </c>
      <c r="O5" s="2">
        <v>99.12</v>
      </c>
      <c r="P5">
        <v>0</v>
      </c>
      <c r="Q5">
        <v>0</v>
      </c>
      <c r="R5">
        <v>0</v>
      </c>
      <c r="S5" s="2">
        <v>0</v>
      </c>
    </row>
    <row r="6" spans="1:19" x14ac:dyDescent="0.25">
      <c r="A6">
        <v>104</v>
      </c>
      <c r="B6" t="s">
        <v>0</v>
      </c>
      <c r="C6">
        <v>25</v>
      </c>
      <c r="D6">
        <v>27697</v>
      </c>
      <c r="E6">
        <v>99.66</v>
      </c>
      <c r="F6" s="2">
        <v>99.49</v>
      </c>
      <c r="G6">
        <v>122</v>
      </c>
      <c r="H6">
        <v>121.63</v>
      </c>
      <c r="I6">
        <v>5</v>
      </c>
      <c r="J6" s="2">
        <f>1460000/1000000</f>
        <v>1.46</v>
      </c>
      <c r="K6">
        <v>0.3</v>
      </c>
      <c r="L6">
        <v>0</v>
      </c>
      <c r="M6">
        <v>65</v>
      </c>
      <c r="N6">
        <v>96</v>
      </c>
      <c r="O6" s="2">
        <v>0</v>
      </c>
      <c r="P6">
        <v>0</v>
      </c>
      <c r="Q6">
        <v>0</v>
      </c>
      <c r="R6">
        <v>0</v>
      </c>
      <c r="S6" s="2">
        <v>0</v>
      </c>
    </row>
    <row r="7" spans="1:19" x14ac:dyDescent="0.25">
      <c r="A7">
        <v>105</v>
      </c>
      <c r="B7" t="s">
        <v>1</v>
      </c>
      <c r="C7">
        <v>64</v>
      </c>
      <c r="D7">
        <v>81335</v>
      </c>
      <c r="E7">
        <v>92.21</v>
      </c>
      <c r="F7" s="2">
        <v>91.3</v>
      </c>
      <c r="G7">
        <v>155</v>
      </c>
      <c r="H7">
        <v>164.73</v>
      </c>
      <c r="I7">
        <v>49.9</v>
      </c>
      <c r="J7" s="2">
        <f>48950000/1000000</f>
        <v>48.95</v>
      </c>
      <c r="K7">
        <v>184.8</v>
      </c>
      <c r="L7">
        <v>194</v>
      </c>
      <c r="M7">
        <v>95.8</v>
      </c>
      <c r="N7">
        <v>96</v>
      </c>
      <c r="O7" s="2">
        <v>99.11</v>
      </c>
      <c r="P7">
        <v>75.97</v>
      </c>
      <c r="Q7" s="1">
        <v>61.89</v>
      </c>
      <c r="R7">
        <v>141.80000000000001</v>
      </c>
      <c r="S7" s="2">
        <v>139.94</v>
      </c>
    </row>
    <row r="8" spans="1:19" x14ac:dyDescent="0.25">
      <c r="A8">
        <v>106</v>
      </c>
      <c r="B8" t="s">
        <v>2</v>
      </c>
      <c r="C8">
        <v>62</v>
      </c>
      <c r="D8">
        <v>64439</v>
      </c>
      <c r="E8">
        <v>92.3</v>
      </c>
      <c r="F8" s="2">
        <v>93.56</v>
      </c>
      <c r="G8">
        <v>154</v>
      </c>
      <c r="H8">
        <v>166.23</v>
      </c>
      <c r="I8">
        <v>55.11</v>
      </c>
      <c r="J8" s="2">
        <f>59660000/1000000</f>
        <v>59.66</v>
      </c>
      <c r="K8">
        <v>172.7</v>
      </c>
      <c r="L8">
        <v>176</v>
      </c>
      <c r="M8">
        <v>96.12</v>
      </c>
      <c r="N8">
        <v>97</v>
      </c>
      <c r="O8" s="2">
        <v>99.07</v>
      </c>
      <c r="P8">
        <v>74.89</v>
      </c>
      <c r="Q8" s="1">
        <v>56.01</v>
      </c>
      <c r="R8">
        <v>130.69999999999999</v>
      </c>
      <c r="S8" s="2">
        <v>119.35</v>
      </c>
    </row>
    <row r="9" spans="1:19" x14ac:dyDescent="0.25">
      <c r="A9">
        <v>107</v>
      </c>
      <c r="B9" t="s">
        <v>1</v>
      </c>
      <c r="C9">
        <v>58</v>
      </c>
      <c r="D9">
        <v>62595</v>
      </c>
      <c r="E9">
        <v>93.35</v>
      </c>
      <c r="F9" s="2">
        <v>90.31</v>
      </c>
      <c r="G9">
        <v>158</v>
      </c>
      <c r="H9">
        <v>165.98</v>
      </c>
      <c r="I9">
        <v>57.1</v>
      </c>
      <c r="J9" s="2">
        <f>60200000/1000000</f>
        <v>60.2</v>
      </c>
      <c r="K9">
        <v>163.69999999999999</v>
      </c>
      <c r="L9">
        <v>161</v>
      </c>
      <c r="M9">
        <v>96.3</v>
      </c>
      <c r="N9">
        <v>96</v>
      </c>
      <c r="O9" s="2">
        <v>98.87</v>
      </c>
      <c r="P9">
        <v>80.67</v>
      </c>
      <c r="Q9" s="1">
        <v>72.849999999999994</v>
      </c>
      <c r="R9">
        <v>125.3</v>
      </c>
      <c r="S9" s="2">
        <v>113.6</v>
      </c>
    </row>
    <row r="10" spans="1:19" x14ac:dyDescent="0.25">
      <c r="A10">
        <v>108</v>
      </c>
      <c r="B10" t="s">
        <v>0</v>
      </c>
      <c r="C10">
        <v>53</v>
      </c>
      <c r="D10">
        <v>63445</v>
      </c>
      <c r="E10">
        <v>94.9</v>
      </c>
      <c r="F10" s="2">
        <v>92.65</v>
      </c>
      <c r="G10">
        <v>155</v>
      </c>
      <c r="H10">
        <v>168.06</v>
      </c>
      <c r="I10">
        <v>64</v>
      </c>
      <c r="J10" s="2">
        <f>62450000/1000000</f>
        <v>62.45</v>
      </c>
      <c r="K10">
        <v>138.30000000000001</v>
      </c>
      <c r="L10">
        <v>138</v>
      </c>
      <c r="M10">
        <v>97</v>
      </c>
      <c r="N10">
        <v>97</v>
      </c>
      <c r="O10" s="2">
        <v>98.63</v>
      </c>
      <c r="P10">
        <v>83.71</v>
      </c>
      <c r="Q10" s="1">
        <v>78.95</v>
      </c>
      <c r="R10">
        <v>105.1</v>
      </c>
      <c r="S10" s="2">
        <v>98.38</v>
      </c>
    </row>
    <row r="11" spans="1:19" x14ac:dyDescent="0.25">
      <c r="A11">
        <v>109</v>
      </c>
      <c r="B11" t="s">
        <v>0</v>
      </c>
      <c r="C11">
        <v>28</v>
      </c>
      <c r="D11">
        <v>29854</v>
      </c>
      <c r="E11">
        <v>99.15</v>
      </c>
      <c r="F11" s="2">
        <v>98.15</v>
      </c>
      <c r="G11">
        <v>164</v>
      </c>
      <c r="H11">
        <v>157.66999999999999</v>
      </c>
      <c r="I11">
        <v>74</v>
      </c>
      <c r="J11" s="2">
        <f>68790000/1000000</f>
        <v>68.790000000000006</v>
      </c>
      <c r="K11">
        <v>10.7</v>
      </c>
      <c r="L11">
        <v>11</v>
      </c>
      <c r="M11">
        <v>95</v>
      </c>
      <c r="N11">
        <v>94</v>
      </c>
      <c r="O11" s="2">
        <v>98.6</v>
      </c>
      <c r="P11">
        <v>0</v>
      </c>
      <c r="Q11">
        <v>0</v>
      </c>
      <c r="R11">
        <v>0</v>
      </c>
      <c r="S11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Pinheiro Morais</dc:creator>
  <cp:lastModifiedBy>Daniel Pinheiro Morais</cp:lastModifiedBy>
  <dcterms:created xsi:type="dcterms:W3CDTF">2026-01-14T18:55:19Z</dcterms:created>
  <dcterms:modified xsi:type="dcterms:W3CDTF">2026-01-14T19:15:30Z</dcterms:modified>
</cp:coreProperties>
</file>