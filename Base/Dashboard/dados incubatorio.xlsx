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avecom\"/>
    </mc:Choice>
  </mc:AlternateContent>
  <xr:revisionPtr revIDLastSave="0" documentId="13_ncr:1_{B060106D-4777-43EB-95ED-3078160CABEB}" xr6:coauthVersionLast="47" xr6:coauthVersionMax="47" xr10:uidLastSave="{00000000-0000-0000-0000-000000000000}"/>
  <bookViews>
    <workbookView xWindow="-120" yWindow="-120" windowWidth="20640" windowHeight="11160" xr2:uid="{AA566A15-1A82-40D4-AAF1-360453261CC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2" i="1"/>
</calcChain>
</file>

<file path=xl/sharedStrings.xml><?xml version="1.0" encoding="utf-8"?>
<sst xmlns="http://schemas.openxmlformats.org/spreadsheetml/2006/main" count="276" uniqueCount="33">
  <si>
    <t>dat_incub</t>
  </si>
  <si>
    <t>idade</t>
  </si>
  <si>
    <t>cod_ovo</t>
  </si>
  <si>
    <t>nro_lote</t>
  </si>
  <si>
    <t>linhagem</t>
  </si>
  <si>
    <t>qtd_ovo_incub</t>
  </si>
  <si>
    <t>TotalNasc</t>
  </si>
  <si>
    <t>qtd_pinto_morto</t>
  </si>
  <si>
    <t>qtd_pinto_elimin</t>
  </si>
  <si>
    <t>qtd_pinto_molhado</t>
  </si>
  <si>
    <t>vend_fem</t>
  </si>
  <si>
    <t>vend_mac</t>
  </si>
  <si>
    <t>vend_mis</t>
  </si>
  <si>
    <t>primeira</t>
  </si>
  <si>
    <t>seg_mac</t>
  </si>
  <si>
    <t>seg_fem</t>
  </si>
  <si>
    <t>seg_mis</t>
  </si>
  <si>
    <t>estocagem</t>
  </si>
  <si>
    <t>pct_eclosao_pad</t>
  </si>
  <si>
    <t>2025-12-10 00:00:00.000</t>
  </si>
  <si>
    <t xml:space="preserve">A  </t>
  </si>
  <si>
    <t xml:space="preserve">ROSS                </t>
  </si>
  <si>
    <t>CMA</t>
  </si>
  <si>
    <t xml:space="preserve">B  </t>
  </si>
  <si>
    <t xml:space="preserve">HUBBARD             </t>
  </si>
  <si>
    <t>CMB</t>
  </si>
  <si>
    <t xml:space="preserve">COBB                </t>
  </si>
  <si>
    <t xml:space="preserve">C  </t>
  </si>
  <si>
    <t>CMC</t>
  </si>
  <si>
    <t>2025-12-12 00:00:00.000</t>
  </si>
  <si>
    <t>2025-12-13 00:00:00.000</t>
  </si>
  <si>
    <t>eclosao real</t>
  </si>
  <si>
    <t>estocagem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</si>
</sst>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59A6-9708-4E1D-BD31-D0887CBBECD8}">
  <dimension ref="A1:U86"/>
  <sheetViews>
    <sheetView tabSelected="1" workbookViewId="0">
      <selection activeCell="G9" sqref="G9"/>
    </sheetView>
  </sheetViews>
  <sheetFormatPr defaultRowHeight="15" x14ac:dyDescent="0.25"/>
  <cols>
    <col min="1" max="1" width="14.85546875" customWidth="1"/>
    <col min="8" max="8" width="18.7109375" customWidth="1"/>
    <col min="9" max="9" width="18.42578125" customWidth="1"/>
    <col min="11" max="11" width="11.85546875" customWidth="1"/>
    <col min="13" max="13" width="12.85546875" customWidth="1"/>
    <col min="14" max="14" width="13.5703125" customWidth="1"/>
    <col min="19" max="19" width="16.5703125" customWidth="1"/>
    <col min="20" max="20" width="14.42578125" customWidth="1"/>
  </cols>
  <sheetData>
    <row r="1" spans="1:21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31</v>
      </c>
      <c r="U1" s="2" t="s">
        <v>32</v>
      </c>
    </row>
    <row r="2" spans="1:21" x14ac:dyDescent="0.25">
      <c r="A2" t="s">
        <v>19</v>
      </c>
      <c r="B2">
        <v>60</v>
      </c>
      <c r="C2" t="s">
        <v>20</v>
      </c>
      <c r="D2">
        <v>100</v>
      </c>
      <c r="E2" t="s">
        <v>21</v>
      </c>
      <c r="F2">
        <v>20640</v>
      </c>
      <c r="G2">
        <v>13395</v>
      </c>
      <c r="H2">
        <v>0</v>
      </c>
      <c r="I2">
        <v>368</v>
      </c>
      <c r="J2">
        <v>0</v>
      </c>
      <c r="K2">
        <v>0</v>
      </c>
      <c r="L2">
        <v>0</v>
      </c>
      <c r="M2">
        <v>13000</v>
      </c>
      <c r="N2">
        <v>13000</v>
      </c>
      <c r="O2">
        <v>0</v>
      </c>
      <c r="P2">
        <v>0</v>
      </c>
      <c r="Q2">
        <v>27</v>
      </c>
      <c r="R2" s="1">
        <v>4000000</v>
      </c>
      <c r="S2">
        <v>76.3</v>
      </c>
      <c r="T2">
        <f>100*G2/F2</f>
        <v>64.898255813953483</v>
      </c>
      <c r="U2">
        <f>R2/1000000</f>
        <v>4</v>
      </c>
    </row>
    <row r="3" spans="1:21" x14ac:dyDescent="0.25">
      <c r="A3" t="s">
        <v>19</v>
      </c>
      <c r="B3">
        <v>60</v>
      </c>
      <c r="C3" t="s">
        <v>20</v>
      </c>
      <c r="D3">
        <v>100</v>
      </c>
      <c r="E3" t="s">
        <v>21</v>
      </c>
      <c r="F3">
        <v>10320</v>
      </c>
      <c r="G3">
        <v>5329</v>
      </c>
      <c r="H3">
        <v>0</v>
      </c>
      <c r="I3">
        <v>207</v>
      </c>
      <c r="J3">
        <v>0</v>
      </c>
      <c r="K3">
        <v>0</v>
      </c>
      <c r="L3">
        <v>0</v>
      </c>
      <c r="M3">
        <v>5100</v>
      </c>
      <c r="N3">
        <v>5100</v>
      </c>
      <c r="O3">
        <v>0</v>
      </c>
      <c r="P3">
        <v>0</v>
      </c>
      <c r="Q3">
        <v>22</v>
      </c>
      <c r="R3" s="1">
        <v>3000000</v>
      </c>
      <c r="S3">
        <v>76.3</v>
      </c>
      <c r="T3">
        <f t="shared" ref="T3:T66" si="0">100*G3/F3</f>
        <v>51.637596899224803</v>
      </c>
      <c r="U3">
        <f t="shared" ref="U3:U66" si="1">R3/1000000</f>
        <v>3</v>
      </c>
    </row>
    <row r="4" spans="1:21" x14ac:dyDescent="0.25">
      <c r="A4" t="s">
        <v>19</v>
      </c>
      <c r="B4">
        <v>60</v>
      </c>
      <c r="C4" t="s">
        <v>22</v>
      </c>
      <c r="D4">
        <v>100</v>
      </c>
      <c r="E4" t="s">
        <v>21</v>
      </c>
      <c r="F4">
        <v>15480</v>
      </c>
      <c r="G4">
        <v>7515</v>
      </c>
      <c r="H4">
        <v>0</v>
      </c>
      <c r="I4">
        <v>379</v>
      </c>
      <c r="J4">
        <v>0</v>
      </c>
      <c r="K4">
        <v>0</v>
      </c>
      <c r="L4">
        <v>0</v>
      </c>
      <c r="M4">
        <v>7100</v>
      </c>
      <c r="N4">
        <v>7100</v>
      </c>
      <c r="O4">
        <v>0</v>
      </c>
      <c r="P4">
        <v>0</v>
      </c>
      <c r="Q4">
        <v>36</v>
      </c>
      <c r="R4" s="1">
        <v>4200000</v>
      </c>
      <c r="S4">
        <v>76.3</v>
      </c>
      <c r="T4">
        <f t="shared" si="0"/>
        <v>48.546511627906973</v>
      </c>
      <c r="U4">
        <f t="shared" si="1"/>
        <v>4.2</v>
      </c>
    </row>
    <row r="5" spans="1:21" x14ac:dyDescent="0.25">
      <c r="A5" t="s">
        <v>19</v>
      </c>
      <c r="B5">
        <v>61</v>
      </c>
      <c r="C5" t="s">
        <v>23</v>
      </c>
      <c r="D5">
        <v>100</v>
      </c>
      <c r="E5" t="s">
        <v>21</v>
      </c>
      <c r="F5">
        <v>18816</v>
      </c>
      <c r="G5">
        <v>13249</v>
      </c>
      <c r="H5">
        <v>0</v>
      </c>
      <c r="I5">
        <v>226</v>
      </c>
      <c r="J5">
        <v>0</v>
      </c>
      <c r="K5">
        <v>0</v>
      </c>
      <c r="L5">
        <v>0</v>
      </c>
      <c r="M5">
        <v>13000</v>
      </c>
      <c r="N5">
        <v>13000</v>
      </c>
      <c r="O5">
        <v>0</v>
      </c>
      <c r="P5">
        <v>0</v>
      </c>
      <c r="Q5">
        <v>23</v>
      </c>
      <c r="R5" s="1">
        <v>1400000</v>
      </c>
      <c r="S5">
        <v>75.5</v>
      </c>
      <c r="T5">
        <f t="shared" si="0"/>
        <v>70.413477891156461</v>
      </c>
      <c r="U5">
        <f t="shared" si="1"/>
        <v>1.4</v>
      </c>
    </row>
    <row r="6" spans="1:21" x14ac:dyDescent="0.25">
      <c r="A6" t="s">
        <v>19</v>
      </c>
      <c r="B6">
        <v>61</v>
      </c>
      <c r="C6" t="s">
        <v>23</v>
      </c>
      <c r="D6">
        <v>100</v>
      </c>
      <c r="E6" t="s">
        <v>21</v>
      </c>
      <c r="F6">
        <v>10368</v>
      </c>
      <c r="G6">
        <v>6366</v>
      </c>
      <c r="H6">
        <v>0</v>
      </c>
      <c r="I6">
        <v>148</v>
      </c>
      <c r="J6">
        <v>0</v>
      </c>
      <c r="K6">
        <v>0</v>
      </c>
      <c r="L6">
        <v>0</v>
      </c>
      <c r="M6">
        <v>6200</v>
      </c>
      <c r="N6">
        <v>6200</v>
      </c>
      <c r="O6">
        <v>0</v>
      </c>
      <c r="P6">
        <v>0</v>
      </c>
      <c r="Q6">
        <v>18</v>
      </c>
      <c r="R6" s="1">
        <v>2000000</v>
      </c>
      <c r="S6">
        <v>75.5</v>
      </c>
      <c r="T6">
        <f t="shared" si="0"/>
        <v>61.400462962962962</v>
      </c>
      <c r="U6">
        <f t="shared" si="1"/>
        <v>2</v>
      </c>
    </row>
    <row r="7" spans="1:21" x14ac:dyDescent="0.25">
      <c r="A7" t="s">
        <v>19</v>
      </c>
      <c r="B7">
        <v>58</v>
      </c>
      <c r="C7" t="s">
        <v>23</v>
      </c>
      <c r="D7">
        <v>101</v>
      </c>
      <c r="E7" t="s">
        <v>24</v>
      </c>
      <c r="F7">
        <v>20736</v>
      </c>
      <c r="G7">
        <v>11920</v>
      </c>
      <c r="H7">
        <v>0</v>
      </c>
      <c r="I7">
        <v>389</v>
      </c>
      <c r="J7">
        <v>0</v>
      </c>
      <c r="K7">
        <v>0</v>
      </c>
      <c r="L7">
        <v>0</v>
      </c>
      <c r="M7">
        <v>11500</v>
      </c>
      <c r="N7">
        <v>11500</v>
      </c>
      <c r="O7">
        <v>0</v>
      </c>
      <c r="P7">
        <v>0</v>
      </c>
      <c r="Q7">
        <v>31</v>
      </c>
      <c r="R7" s="1">
        <v>4000000</v>
      </c>
      <c r="S7">
        <v>75</v>
      </c>
      <c r="T7">
        <f t="shared" si="0"/>
        <v>57.48456790123457</v>
      </c>
      <c r="U7">
        <f t="shared" si="1"/>
        <v>4</v>
      </c>
    </row>
    <row r="8" spans="1:21" x14ac:dyDescent="0.25">
      <c r="A8" t="s">
        <v>19</v>
      </c>
      <c r="B8">
        <v>58</v>
      </c>
      <c r="C8" t="s">
        <v>22</v>
      </c>
      <c r="D8">
        <v>101</v>
      </c>
      <c r="E8" t="s">
        <v>24</v>
      </c>
      <c r="F8">
        <v>20640</v>
      </c>
      <c r="G8">
        <v>12074</v>
      </c>
      <c r="H8">
        <v>0</v>
      </c>
      <c r="I8">
        <v>431</v>
      </c>
      <c r="J8">
        <v>0</v>
      </c>
      <c r="K8">
        <v>0</v>
      </c>
      <c r="L8">
        <v>0</v>
      </c>
      <c r="M8">
        <v>11600</v>
      </c>
      <c r="N8">
        <v>11600</v>
      </c>
      <c r="O8">
        <v>0</v>
      </c>
      <c r="P8">
        <v>0</v>
      </c>
      <c r="Q8">
        <v>43</v>
      </c>
      <c r="R8" s="1">
        <v>4500000</v>
      </c>
      <c r="S8">
        <v>75</v>
      </c>
      <c r="T8">
        <f t="shared" si="0"/>
        <v>58.498062015503876</v>
      </c>
      <c r="U8">
        <f t="shared" si="1"/>
        <v>4.5</v>
      </c>
    </row>
    <row r="9" spans="1:21" x14ac:dyDescent="0.25">
      <c r="A9" t="s">
        <v>19</v>
      </c>
      <c r="B9">
        <v>54</v>
      </c>
      <c r="C9" t="s">
        <v>20</v>
      </c>
      <c r="D9">
        <v>102</v>
      </c>
      <c r="E9" t="s">
        <v>21</v>
      </c>
      <c r="F9">
        <v>10320</v>
      </c>
      <c r="G9">
        <v>7007</v>
      </c>
      <c r="H9">
        <v>0</v>
      </c>
      <c r="I9">
        <v>188</v>
      </c>
      <c r="J9">
        <v>0</v>
      </c>
      <c r="K9">
        <v>0</v>
      </c>
      <c r="L9">
        <v>0</v>
      </c>
      <c r="M9">
        <v>6800</v>
      </c>
      <c r="N9">
        <v>6800</v>
      </c>
      <c r="O9">
        <v>0</v>
      </c>
      <c r="P9">
        <v>0</v>
      </c>
      <c r="Q9">
        <v>19</v>
      </c>
      <c r="R9" s="1">
        <v>3900000</v>
      </c>
      <c r="S9">
        <v>80.900000000000006</v>
      </c>
      <c r="T9">
        <f t="shared" si="0"/>
        <v>67.897286821705421</v>
      </c>
      <c r="U9">
        <f t="shared" si="1"/>
        <v>3.9</v>
      </c>
    </row>
    <row r="10" spans="1:21" x14ac:dyDescent="0.25">
      <c r="A10" t="s">
        <v>19</v>
      </c>
      <c r="B10">
        <v>54</v>
      </c>
      <c r="C10" t="s">
        <v>23</v>
      </c>
      <c r="D10">
        <v>102</v>
      </c>
      <c r="E10" t="s">
        <v>21</v>
      </c>
      <c r="F10">
        <v>1737</v>
      </c>
      <c r="G10">
        <v>1338</v>
      </c>
      <c r="H10">
        <v>0</v>
      </c>
      <c r="I10">
        <v>62</v>
      </c>
      <c r="J10">
        <v>0</v>
      </c>
      <c r="K10">
        <v>0</v>
      </c>
      <c r="L10">
        <v>0</v>
      </c>
      <c r="M10">
        <v>1267</v>
      </c>
      <c r="N10">
        <v>1267</v>
      </c>
      <c r="O10">
        <v>0</v>
      </c>
      <c r="P10">
        <v>0</v>
      </c>
      <c r="Q10">
        <v>9</v>
      </c>
      <c r="R10" s="1">
        <v>3100000</v>
      </c>
      <c r="S10">
        <v>80.900000000000006</v>
      </c>
      <c r="T10">
        <f t="shared" si="0"/>
        <v>77.0293609671848</v>
      </c>
      <c r="U10">
        <f t="shared" si="1"/>
        <v>3.1</v>
      </c>
    </row>
    <row r="11" spans="1:21" x14ac:dyDescent="0.25">
      <c r="A11" t="s">
        <v>19</v>
      </c>
      <c r="B11">
        <v>54</v>
      </c>
      <c r="C11" t="s">
        <v>22</v>
      </c>
      <c r="D11">
        <v>102</v>
      </c>
      <c r="E11" t="s">
        <v>21</v>
      </c>
      <c r="F11">
        <v>5160</v>
      </c>
      <c r="G11">
        <v>3085</v>
      </c>
      <c r="H11">
        <v>0</v>
      </c>
      <c r="I11">
        <v>159</v>
      </c>
      <c r="J11">
        <v>0</v>
      </c>
      <c r="K11">
        <v>0</v>
      </c>
      <c r="L11">
        <v>0</v>
      </c>
      <c r="M11">
        <v>2900</v>
      </c>
      <c r="N11">
        <v>2900</v>
      </c>
      <c r="O11">
        <v>0</v>
      </c>
      <c r="P11">
        <v>0</v>
      </c>
      <c r="Q11">
        <v>26</v>
      </c>
      <c r="R11" s="1">
        <v>4200000</v>
      </c>
      <c r="S11">
        <v>80.900000000000006</v>
      </c>
      <c r="T11">
        <f t="shared" si="0"/>
        <v>59.786821705426355</v>
      </c>
      <c r="U11">
        <f t="shared" si="1"/>
        <v>4.2</v>
      </c>
    </row>
    <row r="12" spans="1:21" x14ac:dyDescent="0.25">
      <c r="A12" t="s">
        <v>19</v>
      </c>
      <c r="B12">
        <v>54</v>
      </c>
      <c r="C12" t="s">
        <v>25</v>
      </c>
      <c r="D12">
        <v>102</v>
      </c>
      <c r="E12" t="s">
        <v>21</v>
      </c>
      <c r="F12">
        <v>5160</v>
      </c>
      <c r="G12">
        <v>3187</v>
      </c>
      <c r="H12">
        <v>0</v>
      </c>
      <c r="I12">
        <v>168</v>
      </c>
      <c r="J12">
        <v>0</v>
      </c>
      <c r="K12">
        <v>0</v>
      </c>
      <c r="L12">
        <v>0</v>
      </c>
      <c r="M12">
        <v>3000</v>
      </c>
      <c r="N12">
        <v>3000</v>
      </c>
      <c r="O12">
        <v>0</v>
      </c>
      <c r="P12">
        <v>0</v>
      </c>
      <c r="Q12">
        <v>19</v>
      </c>
      <c r="R12" s="1">
        <v>3100000</v>
      </c>
      <c r="S12">
        <v>80.900000000000006</v>
      </c>
      <c r="T12">
        <f t="shared" si="0"/>
        <v>61.763565891472865</v>
      </c>
      <c r="U12">
        <f t="shared" si="1"/>
        <v>3.1</v>
      </c>
    </row>
    <row r="13" spans="1:21" x14ac:dyDescent="0.25">
      <c r="A13" t="s">
        <v>19</v>
      </c>
      <c r="B13">
        <v>55</v>
      </c>
      <c r="C13" t="s">
        <v>23</v>
      </c>
      <c r="D13">
        <v>102</v>
      </c>
      <c r="E13" t="s">
        <v>21</v>
      </c>
      <c r="F13">
        <v>183</v>
      </c>
      <c r="G13">
        <v>141</v>
      </c>
      <c r="H13">
        <v>0</v>
      </c>
      <c r="I13">
        <v>7</v>
      </c>
      <c r="J13">
        <v>0</v>
      </c>
      <c r="K13">
        <v>0</v>
      </c>
      <c r="L13">
        <v>0</v>
      </c>
      <c r="M13">
        <v>133</v>
      </c>
      <c r="N13">
        <v>133</v>
      </c>
      <c r="O13">
        <v>0</v>
      </c>
      <c r="P13">
        <v>0</v>
      </c>
      <c r="Q13">
        <v>1</v>
      </c>
      <c r="R13" s="1">
        <v>2000000</v>
      </c>
      <c r="S13">
        <v>80.2</v>
      </c>
      <c r="T13">
        <f t="shared" si="0"/>
        <v>77.049180327868854</v>
      </c>
      <c r="U13">
        <f t="shared" si="1"/>
        <v>2</v>
      </c>
    </row>
    <row r="14" spans="1:21" x14ac:dyDescent="0.25">
      <c r="A14" t="s">
        <v>19</v>
      </c>
      <c r="B14">
        <v>49</v>
      </c>
      <c r="C14" t="s">
        <v>22</v>
      </c>
      <c r="D14">
        <v>103</v>
      </c>
      <c r="E14" t="s">
        <v>26</v>
      </c>
      <c r="F14">
        <v>5160</v>
      </c>
      <c r="G14">
        <v>4140</v>
      </c>
      <c r="H14">
        <v>0</v>
      </c>
      <c r="I14">
        <v>124</v>
      </c>
      <c r="J14">
        <v>0</v>
      </c>
      <c r="K14">
        <v>0</v>
      </c>
      <c r="L14">
        <v>0</v>
      </c>
      <c r="M14">
        <v>4000</v>
      </c>
      <c r="N14">
        <v>4000</v>
      </c>
      <c r="O14">
        <v>0</v>
      </c>
      <c r="P14">
        <v>0</v>
      </c>
      <c r="Q14">
        <v>16</v>
      </c>
      <c r="R14" s="1">
        <v>5500000</v>
      </c>
      <c r="S14">
        <v>83.9</v>
      </c>
      <c r="T14">
        <f t="shared" si="0"/>
        <v>80.232558139534888</v>
      </c>
      <c r="U14">
        <f t="shared" si="1"/>
        <v>5.5</v>
      </c>
    </row>
    <row r="15" spans="1:21" x14ac:dyDescent="0.25">
      <c r="A15" t="s">
        <v>19</v>
      </c>
      <c r="B15">
        <v>50</v>
      </c>
      <c r="C15" t="s">
        <v>25</v>
      </c>
      <c r="D15">
        <v>103</v>
      </c>
      <c r="E15" t="s">
        <v>26</v>
      </c>
      <c r="F15">
        <v>3456</v>
      </c>
      <c r="G15">
        <v>2579</v>
      </c>
      <c r="H15">
        <v>0</v>
      </c>
      <c r="I15">
        <v>72</v>
      </c>
      <c r="J15">
        <v>0</v>
      </c>
      <c r="K15">
        <v>0</v>
      </c>
      <c r="L15">
        <v>0</v>
      </c>
      <c r="M15">
        <v>2500</v>
      </c>
      <c r="N15">
        <v>2500</v>
      </c>
      <c r="O15">
        <v>0</v>
      </c>
      <c r="P15">
        <v>0</v>
      </c>
      <c r="Q15">
        <v>7</v>
      </c>
      <c r="R15" s="1">
        <v>1200000</v>
      </c>
      <c r="S15">
        <v>83.5</v>
      </c>
      <c r="T15">
        <f t="shared" si="0"/>
        <v>74.623842592592595</v>
      </c>
      <c r="U15">
        <f t="shared" si="1"/>
        <v>1.2</v>
      </c>
    </row>
    <row r="16" spans="1:21" x14ac:dyDescent="0.25">
      <c r="A16" t="s">
        <v>19</v>
      </c>
      <c r="B16">
        <v>42</v>
      </c>
      <c r="C16" t="s">
        <v>27</v>
      </c>
      <c r="D16">
        <v>104</v>
      </c>
      <c r="E16" t="s">
        <v>26</v>
      </c>
      <c r="F16">
        <v>3456</v>
      </c>
      <c r="G16">
        <v>2836</v>
      </c>
      <c r="H16">
        <v>0</v>
      </c>
      <c r="I16">
        <v>33</v>
      </c>
      <c r="J16">
        <v>0</v>
      </c>
      <c r="K16">
        <v>0</v>
      </c>
      <c r="L16">
        <v>0</v>
      </c>
      <c r="M16">
        <v>2800</v>
      </c>
      <c r="N16">
        <v>2800</v>
      </c>
      <c r="O16">
        <v>0</v>
      </c>
      <c r="P16">
        <v>0</v>
      </c>
      <c r="Q16">
        <v>3</v>
      </c>
      <c r="R16" s="1">
        <v>3900000</v>
      </c>
      <c r="S16">
        <v>86.9</v>
      </c>
      <c r="T16">
        <f t="shared" si="0"/>
        <v>82.06018518518519</v>
      </c>
      <c r="U16">
        <f t="shared" si="1"/>
        <v>3.9</v>
      </c>
    </row>
    <row r="17" spans="1:21" x14ac:dyDescent="0.25">
      <c r="A17" t="s">
        <v>19</v>
      </c>
      <c r="B17">
        <v>42</v>
      </c>
      <c r="C17" t="s">
        <v>25</v>
      </c>
      <c r="D17">
        <v>104</v>
      </c>
      <c r="E17" t="s">
        <v>26</v>
      </c>
      <c r="F17">
        <v>3456</v>
      </c>
      <c r="G17">
        <v>2880</v>
      </c>
      <c r="H17">
        <v>0</v>
      </c>
      <c r="I17">
        <v>74</v>
      </c>
      <c r="J17">
        <v>0</v>
      </c>
      <c r="K17">
        <v>0</v>
      </c>
      <c r="L17">
        <v>0</v>
      </c>
      <c r="M17">
        <v>2800</v>
      </c>
      <c r="N17">
        <v>2800</v>
      </c>
      <c r="O17">
        <v>0</v>
      </c>
      <c r="P17">
        <v>0</v>
      </c>
      <c r="Q17">
        <v>6</v>
      </c>
      <c r="R17" s="1">
        <v>5100000</v>
      </c>
      <c r="S17">
        <v>86.9</v>
      </c>
      <c r="T17">
        <f t="shared" si="0"/>
        <v>83.333333333333329</v>
      </c>
      <c r="U17">
        <f t="shared" si="1"/>
        <v>5.0999999999999996</v>
      </c>
    </row>
    <row r="18" spans="1:21" x14ac:dyDescent="0.25">
      <c r="A18" t="s">
        <v>19</v>
      </c>
      <c r="B18">
        <v>42</v>
      </c>
      <c r="C18" t="s">
        <v>25</v>
      </c>
      <c r="D18">
        <v>104</v>
      </c>
      <c r="E18" t="s">
        <v>26</v>
      </c>
      <c r="F18">
        <v>5160</v>
      </c>
      <c r="G18">
        <v>4341</v>
      </c>
      <c r="H18">
        <v>0</v>
      </c>
      <c r="I18">
        <v>129</v>
      </c>
      <c r="J18">
        <v>0</v>
      </c>
      <c r="K18">
        <v>0</v>
      </c>
      <c r="L18">
        <v>0</v>
      </c>
      <c r="M18">
        <v>4200</v>
      </c>
      <c r="N18">
        <v>4200</v>
      </c>
      <c r="O18">
        <v>0</v>
      </c>
      <c r="P18">
        <v>0</v>
      </c>
      <c r="Q18">
        <v>12</v>
      </c>
      <c r="R18" s="1">
        <v>6600000</v>
      </c>
      <c r="S18">
        <v>86.9</v>
      </c>
      <c r="T18">
        <f t="shared" si="0"/>
        <v>84.127906976744185</v>
      </c>
      <c r="U18">
        <f t="shared" si="1"/>
        <v>6.6</v>
      </c>
    </row>
    <row r="19" spans="1:21" x14ac:dyDescent="0.25">
      <c r="A19" t="s">
        <v>19</v>
      </c>
      <c r="B19">
        <v>34</v>
      </c>
      <c r="C19" t="s">
        <v>23</v>
      </c>
      <c r="D19">
        <v>105</v>
      </c>
      <c r="E19" t="s">
        <v>21</v>
      </c>
      <c r="F19">
        <v>20256</v>
      </c>
      <c r="G19">
        <v>18858</v>
      </c>
      <c r="H19">
        <v>0</v>
      </c>
      <c r="I19">
        <v>385</v>
      </c>
      <c r="J19">
        <v>0</v>
      </c>
      <c r="K19">
        <v>0</v>
      </c>
      <c r="L19">
        <v>0</v>
      </c>
      <c r="M19">
        <v>18463</v>
      </c>
      <c r="N19">
        <v>18463</v>
      </c>
      <c r="O19">
        <v>0</v>
      </c>
      <c r="P19">
        <v>0</v>
      </c>
      <c r="Q19">
        <v>11</v>
      </c>
      <c r="R19" s="1">
        <v>3000000</v>
      </c>
      <c r="S19">
        <v>90.4</v>
      </c>
      <c r="T19">
        <f t="shared" si="0"/>
        <v>93.098341232227483</v>
      </c>
      <c r="U19">
        <f t="shared" si="1"/>
        <v>3</v>
      </c>
    </row>
    <row r="20" spans="1:21" x14ac:dyDescent="0.25">
      <c r="A20" t="s">
        <v>19</v>
      </c>
      <c r="B20">
        <v>34</v>
      </c>
      <c r="C20" t="s">
        <v>27</v>
      </c>
      <c r="D20">
        <v>105</v>
      </c>
      <c r="E20" t="s">
        <v>21</v>
      </c>
      <c r="F20">
        <v>20736</v>
      </c>
      <c r="G20">
        <v>19050</v>
      </c>
      <c r="H20">
        <v>0</v>
      </c>
      <c r="I20">
        <v>112</v>
      </c>
      <c r="J20">
        <v>0</v>
      </c>
      <c r="K20">
        <v>0</v>
      </c>
      <c r="L20">
        <v>0</v>
      </c>
      <c r="M20">
        <v>18900</v>
      </c>
      <c r="N20">
        <v>18900</v>
      </c>
      <c r="O20">
        <v>0</v>
      </c>
      <c r="P20">
        <v>0</v>
      </c>
      <c r="Q20">
        <v>38</v>
      </c>
      <c r="R20" s="1">
        <v>3100000</v>
      </c>
      <c r="S20">
        <v>90.4</v>
      </c>
      <c r="T20">
        <f t="shared" si="0"/>
        <v>91.869212962962962</v>
      </c>
      <c r="U20">
        <f t="shared" si="1"/>
        <v>3.1</v>
      </c>
    </row>
    <row r="21" spans="1:21" x14ac:dyDescent="0.25">
      <c r="A21" t="s">
        <v>19</v>
      </c>
      <c r="B21">
        <v>34</v>
      </c>
      <c r="C21" t="s">
        <v>27</v>
      </c>
      <c r="D21">
        <v>105</v>
      </c>
      <c r="E21" t="s">
        <v>21</v>
      </c>
      <c r="F21">
        <v>20736</v>
      </c>
      <c r="G21">
        <v>19030</v>
      </c>
      <c r="H21">
        <v>0</v>
      </c>
      <c r="I21">
        <v>116</v>
      </c>
      <c r="J21">
        <v>0</v>
      </c>
      <c r="K21">
        <v>0</v>
      </c>
      <c r="L21">
        <v>0</v>
      </c>
      <c r="M21">
        <v>18900</v>
      </c>
      <c r="N21">
        <v>18900</v>
      </c>
      <c r="O21">
        <v>0</v>
      </c>
      <c r="P21">
        <v>0</v>
      </c>
      <c r="Q21">
        <v>14</v>
      </c>
      <c r="R21" s="1">
        <v>3000000</v>
      </c>
      <c r="S21">
        <v>90.4</v>
      </c>
      <c r="T21">
        <f t="shared" si="0"/>
        <v>91.772762345679013</v>
      </c>
      <c r="U21">
        <f t="shared" si="1"/>
        <v>3</v>
      </c>
    </row>
    <row r="22" spans="1:21" x14ac:dyDescent="0.25">
      <c r="A22" t="s">
        <v>19</v>
      </c>
      <c r="B22">
        <v>34</v>
      </c>
      <c r="C22" t="s">
        <v>27</v>
      </c>
      <c r="D22">
        <v>105</v>
      </c>
      <c r="E22" t="s">
        <v>21</v>
      </c>
      <c r="F22">
        <v>14782</v>
      </c>
      <c r="G22">
        <v>13427</v>
      </c>
      <c r="H22">
        <v>0</v>
      </c>
      <c r="I22">
        <v>74</v>
      </c>
      <c r="J22">
        <v>0</v>
      </c>
      <c r="K22">
        <v>0</v>
      </c>
      <c r="L22">
        <v>0</v>
      </c>
      <c r="M22">
        <v>13345</v>
      </c>
      <c r="N22">
        <v>13345</v>
      </c>
      <c r="O22">
        <v>0</v>
      </c>
      <c r="P22">
        <v>0</v>
      </c>
      <c r="Q22">
        <v>8</v>
      </c>
      <c r="R22" s="1">
        <v>3000000</v>
      </c>
      <c r="S22">
        <v>90.4</v>
      </c>
      <c r="T22">
        <f t="shared" si="0"/>
        <v>90.833446083074008</v>
      </c>
      <c r="U22">
        <f t="shared" si="1"/>
        <v>3</v>
      </c>
    </row>
    <row r="23" spans="1:21" x14ac:dyDescent="0.25">
      <c r="A23" t="s">
        <v>19</v>
      </c>
      <c r="B23">
        <v>34</v>
      </c>
      <c r="C23" t="s">
        <v>28</v>
      </c>
      <c r="D23">
        <v>105</v>
      </c>
      <c r="E23" t="s">
        <v>21</v>
      </c>
      <c r="F23">
        <v>2055</v>
      </c>
      <c r="G23">
        <v>1697</v>
      </c>
      <c r="H23">
        <v>0</v>
      </c>
      <c r="I23">
        <v>29</v>
      </c>
      <c r="J23">
        <v>0</v>
      </c>
      <c r="K23">
        <v>0</v>
      </c>
      <c r="L23">
        <v>0</v>
      </c>
      <c r="M23">
        <v>1665</v>
      </c>
      <c r="N23">
        <v>1665</v>
      </c>
      <c r="O23">
        <v>0</v>
      </c>
      <c r="P23">
        <v>0</v>
      </c>
      <c r="Q23">
        <v>4</v>
      </c>
      <c r="R23" s="1">
        <v>3000000</v>
      </c>
      <c r="S23">
        <v>90.4</v>
      </c>
      <c r="T23">
        <f t="shared" si="0"/>
        <v>82.579075425790748</v>
      </c>
      <c r="U23">
        <f t="shared" si="1"/>
        <v>3</v>
      </c>
    </row>
    <row r="24" spans="1:21" x14ac:dyDescent="0.25">
      <c r="A24" t="s">
        <v>19</v>
      </c>
      <c r="B24">
        <v>34</v>
      </c>
      <c r="C24" t="s">
        <v>28</v>
      </c>
      <c r="D24">
        <v>105</v>
      </c>
      <c r="E24" t="s">
        <v>21</v>
      </c>
      <c r="F24">
        <v>5160</v>
      </c>
      <c r="G24">
        <v>4391</v>
      </c>
      <c r="H24">
        <v>0</v>
      </c>
      <c r="I24">
        <v>82</v>
      </c>
      <c r="J24">
        <v>0</v>
      </c>
      <c r="K24">
        <v>0</v>
      </c>
      <c r="L24">
        <v>0</v>
      </c>
      <c r="M24">
        <v>4300</v>
      </c>
      <c r="N24">
        <v>4300</v>
      </c>
      <c r="O24">
        <v>0</v>
      </c>
      <c r="P24">
        <v>0</v>
      </c>
      <c r="Q24">
        <v>9</v>
      </c>
      <c r="R24" s="1">
        <v>3100000</v>
      </c>
      <c r="S24">
        <v>90.4</v>
      </c>
      <c r="T24">
        <f t="shared" si="0"/>
        <v>85.096899224806208</v>
      </c>
      <c r="U24">
        <f t="shared" si="1"/>
        <v>3.1</v>
      </c>
    </row>
    <row r="25" spans="1:21" x14ac:dyDescent="0.25">
      <c r="A25" t="s">
        <v>19</v>
      </c>
      <c r="B25">
        <v>35</v>
      </c>
      <c r="C25" t="s">
        <v>23</v>
      </c>
      <c r="D25">
        <v>105</v>
      </c>
      <c r="E25" t="s">
        <v>21</v>
      </c>
      <c r="F25">
        <v>480</v>
      </c>
      <c r="G25">
        <v>447</v>
      </c>
      <c r="H25">
        <v>0</v>
      </c>
      <c r="I25">
        <v>9</v>
      </c>
      <c r="J25">
        <v>0</v>
      </c>
      <c r="K25">
        <v>0</v>
      </c>
      <c r="L25">
        <v>0</v>
      </c>
      <c r="M25">
        <v>437</v>
      </c>
      <c r="N25">
        <v>437</v>
      </c>
      <c r="O25">
        <v>0</v>
      </c>
      <c r="P25">
        <v>0</v>
      </c>
      <c r="Q25">
        <v>0</v>
      </c>
      <c r="R25" s="1">
        <v>2000000</v>
      </c>
      <c r="S25">
        <v>90.5</v>
      </c>
      <c r="T25">
        <f t="shared" si="0"/>
        <v>93.125</v>
      </c>
      <c r="U25">
        <f t="shared" si="1"/>
        <v>2</v>
      </c>
    </row>
    <row r="26" spans="1:21" x14ac:dyDescent="0.25">
      <c r="A26" t="s">
        <v>19</v>
      </c>
      <c r="B26">
        <v>35</v>
      </c>
      <c r="C26" t="s">
        <v>27</v>
      </c>
      <c r="D26">
        <v>105</v>
      </c>
      <c r="E26" t="s">
        <v>21</v>
      </c>
      <c r="F26">
        <v>2498</v>
      </c>
      <c r="G26">
        <v>2269</v>
      </c>
      <c r="H26">
        <v>0</v>
      </c>
      <c r="I26">
        <v>13</v>
      </c>
      <c r="J26">
        <v>0</v>
      </c>
      <c r="K26">
        <v>0</v>
      </c>
      <c r="L26">
        <v>0</v>
      </c>
      <c r="M26">
        <v>2255</v>
      </c>
      <c r="N26">
        <v>2255</v>
      </c>
      <c r="O26">
        <v>0</v>
      </c>
      <c r="P26">
        <v>0</v>
      </c>
      <c r="Q26">
        <v>1</v>
      </c>
      <c r="R26" s="1">
        <v>2000000</v>
      </c>
      <c r="S26">
        <v>90.5</v>
      </c>
      <c r="T26">
        <f t="shared" si="0"/>
        <v>90.832666132906326</v>
      </c>
      <c r="U26">
        <f t="shared" si="1"/>
        <v>2</v>
      </c>
    </row>
    <row r="27" spans="1:21" x14ac:dyDescent="0.25">
      <c r="A27" t="s">
        <v>19</v>
      </c>
      <c r="B27">
        <v>35</v>
      </c>
      <c r="C27" t="s">
        <v>28</v>
      </c>
      <c r="D27">
        <v>105</v>
      </c>
      <c r="E27" t="s">
        <v>21</v>
      </c>
      <c r="F27">
        <v>1401</v>
      </c>
      <c r="G27">
        <v>1157</v>
      </c>
      <c r="H27">
        <v>0</v>
      </c>
      <c r="I27">
        <v>19</v>
      </c>
      <c r="J27">
        <v>0</v>
      </c>
      <c r="K27">
        <v>0</v>
      </c>
      <c r="L27">
        <v>0</v>
      </c>
      <c r="M27">
        <v>1135</v>
      </c>
      <c r="N27">
        <v>1135</v>
      </c>
      <c r="O27">
        <v>0</v>
      </c>
      <c r="P27">
        <v>0</v>
      </c>
      <c r="Q27">
        <v>2</v>
      </c>
      <c r="R27" s="1">
        <v>2000000</v>
      </c>
      <c r="S27">
        <v>90.5</v>
      </c>
      <c r="T27">
        <f t="shared" si="0"/>
        <v>82.583868665239109</v>
      </c>
      <c r="U27">
        <f t="shared" si="1"/>
        <v>2</v>
      </c>
    </row>
    <row r="28" spans="1:21" x14ac:dyDescent="0.25">
      <c r="A28" t="s">
        <v>29</v>
      </c>
      <c r="B28">
        <v>61</v>
      </c>
      <c r="C28" t="s">
        <v>23</v>
      </c>
      <c r="D28">
        <v>100</v>
      </c>
      <c r="E28" t="s">
        <v>21</v>
      </c>
      <c r="F28">
        <v>20736</v>
      </c>
      <c r="G28">
        <v>14708</v>
      </c>
      <c r="H28">
        <v>0</v>
      </c>
      <c r="I28">
        <v>381</v>
      </c>
      <c r="J28">
        <v>0</v>
      </c>
      <c r="K28">
        <v>0</v>
      </c>
      <c r="L28">
        <v>0</v>
      </c>
      <c r="M28">
        <v>14300</v>
      </c>
      <c r="N28">
        <v>14300</v>
      </c>
      <c r="O28">
        <v>0</v>
      </c>
      <c r="P28">
        <v>0</v>
      </c>
      <c r="Q28">
        <v>27</v>
      </c>
      <c r="R28" s="1">
        <v>2600000</v>
      </c>
      <c r="S28">
        <v>75.5</v>
      </c>
      <c r="T28">
        <f t="shared" si="0"/>
        <v>70.929783950617278</v>
      </c>
      <c r="U28">
        <f t="shared" si="1"/>
        <v>2.6</v>
      </c>
    </row>
    <row r="29" spans="1:21" x14ac:dyDescent="0.25">
      <c r="A29" t="s">
        <v>29</v>
      </c>
      <c r="B29">
        <v>58</v>
      </c>
      <c r="C29" t="s">
        <v>20</v>
      </c>
      <c r="D29">
        <v>101</v>
      </c>
      <c r="E29" t="s">
        <v>24</v>
      </c>
      <c r="F29">
        <v>20640</v>
      </c>
      <c r="G29">
        <v>12415</v>
      </c>
      <c r="H29">
        <v>0</v>
      </c>
      <c r="I29">
        <v>381</v>
      </c>
      <c r="J29">
        <v>0</v>
      </c>
      <c r="K29">
        <v>0</v>
      </c>
      <c r="L29">
        <v>0</v>
      </c>
      <c r="M29">
        <v>12000</v>
      </c>
      <c r="N29">
        <v>12000</v>
      </c>
      <c r="O29">
        <v>0</v>
      </c>
      <c r="P29">
        <v>0</v>
      </c>
      <c r="Q29">
        <v>34</v>
      </c>
      <c r="R29" s="1">
        <v>9600000</v>
      </c>
      <c r="S29">
        <v>75</v>
      </c>
      <c r="T29">
        <f t="shared" si="0"/>
        <v>60.150193798449614</v>
      </c>
      <c r="U29">
        <f t="shared" si="1"/>
        <v>9.6</v>
      </c>
    </row>
    <row r="30" spans="1:21" x14ac:dyDescent="0.25">
      <c r="A30" t="s">
        <v>29</v>
      </c>
      <c r="B30">
        <v>58</v>
      </c>
      <c r="C30" t="s">
        <v>23</v>
      </c>
      <c r="D30">
        <v>101</v>
      </c>
      <c r="E30" t="s">
        <v>24</v>
      </c>
      <c r="F30">
        <v>9992</v>
      </c>
      <c r="G30">
        <v>6122</v>
      </c>
      <c r="H30">
        <v>0</v>
      </c>
      <c r="I30">
        <v>180</v>
      </c>
      <c r="J30">
        <v>0</v>
      </c>
      <c r="K30">
        <v>0</v>
      </c>
      <c r="L30">
        <v>0</v>
      </c>
      <c r="M30">
        <v>5927</v>
      </c>
      <c r="N30">
        <v>5927</v>
      </c>
      <c r="O30">
        <v>0</v>
      </c>
      <c r="P30">
        <v>0</v>
      </c>
      <c r="Q30">
        <v>15</v>
      </c>
      <c r="R30" s="1">
        <v>5000000</v>
      </c>
      <c r="S30">
        <v>75</v>
      </c>
      <c r="T30">
        <f t="shared" si="0"/>
        <v>61.269015212169734</v>
      </c>
      <c r="U30">
        <f t="shared" si="1"/>
        <v>5</v>
      </c>
    </row>
    <row r="31" spans="1:21" x14ac:dyDescent="0.25">
      <c r="A31" t="s">
        <v>29</v>
      </c>
      <c r="B31">
        <v>58</v>
      </c>
      <c r="C31" t="s">
        <v>22</v>
      </c>
      <c r="D31">
        <v>101</v>
      </c>
      <c r="E31" t="s">
        <v>24</v>
      </c>
      <c r="F31">
        <v>15520</v>
      </c>
      <c r="G31">
        <v>7965</v>
      </c>
      <c r="H31">
        <v>0</v>
      </c>
      <c r="I31">
        <v>490</v>
      </c>
      <c r="J31">
        <v>0</v>
      </c>
      <c r="K31">
        <v>0</v>
      </c>
      <c r="L31">
        <v>0</v>
      </c>
      <c r="M31">
        <v>7444</v>
      </c>
      <c r="N31">
        <v>7444</v>
      </c>
      <c r="O31">
        <v>0</v>
      </c>
      <c r="P31">
        <v>0</v>
      </c>
      <c r="Q31">
        <v>32</v>
      </c>
      <c r="R31" s="1">
        <v>5200000</v>
      </c>
      <c r="S31">
        <v>75</v>
      </c>
      <c r="T31">
        <f t="shared" si="0"/>
        <v>51.320876288659797</v>
      </c>
      <c r="U31">
        <f t="shared" si="1"/>
        <v>5.2</v>
      </c>
    </row>
    <row r="32" spans="1:21" x14ac:dyDescent="0.25">
      <c r="A32" t="s">
        <v>29</v>
      </c>
      <c r="B32">
        <v>59</v>
      </c>
      <c r="C32" t="s">
        <v>23</v>
      </c>
      <c r="D32">
        <v>101</v>
      </c>
      <c r="E32" t="s">
        <v>24</v>
      </c>
      <c r="F32">
        <v>10744</v>
      </c>
      <c r="G32">
        <v>6583</v>
      </c>
      <c r="H32">
        <v>0</v>
      </c>
      <c r="I32">
        <v>194</v>
      </c>
      <c r="J32">
        <v>0</v>
      </c>
      <c r="K32">
        <v>0</v>
      </c>
      <c r="L32">
        <v>0</v>
      </c>
      <c r="M32">
        <v>6373</v>
      </c>
      <c r="N32">
        <v>6373</v>
      </c>
      <c r="O32">
        <v>0</v>
      </c>
      <c r="P32">
        <v>0</v>
      </c>
      <c r="Q32">
        <v>16</v>
      </c>
      <c r="R32" s="1">
        <v>4000000</v>
      </c>
      <c r="S32">
        <v>74.5</v>
      </c>
      <c r="T32">
        <f t="shared" si="0"/>
        <v>61.271407297096054</v>
      </c>
      <c r="U32">
        <f t="shared" si="1"/>
        <v>4</v>
      </c>
    </row>
    <row r="33" spans="1:21" x14ac:dyDescent="0.25">
      <c r="A33" t="s">
        <v>29</v>
      </c>
      <c r="B33">
        <v>59</v>
      </c>
      <c r="C33" t="s">
        <v>23</v>
      </c>
      <c r="D33">
        <v>101</v>
      </c>
      <c r="E33" t="s">
        <v>24</v>
      </c>
      <c r="F33">
        <v>20736</v>
      </c>
      <c r="G33">
        <v>12716</v>
      </c>
      <c r="H33">
        <v>0</v>
      </c>
      <c r="I33">
        <v>291</v>
      </c>
      <c r="J33">
        <v>0</v>
      </c>
      <c r="K33">
        <v>0</v>
      </c>
      <c r="L33">
        <v>0</v>
      </c>
      <c r="M33">
        <v>12400</v>
      </c>
      <c r="N33">
        <v>12400</v>
      </c>
      <c r="O33">
        <v>0</v>
      </c>
      <c r="P33">
        <v>0</v>
      </c>
      <c r="Q33">
        <v>25</v>
      </c>
      <c r="R33" s="1">
        <v>2900000</v>
      </c>
      <c r="S33">
        <v>74.5</v>
      </c>
      <c r="T33">
        <f t="shared" si="0"/>
        <v>61.323302469135804</v>
      </c>
      <c r="U33">
        <f t="shared" si="1"/>
        <v>2.9</v>
      </c>
    </row>
    <row r="34" spans="1:21" x14ac:dyDescent="0.25">
      <c r="A34" t="s">
        <v>29</v>
      </c>
      <c r="B34">
        <v>59</v>
      </c>
      <c r="C34" t="s">
        <v>22</v>
      </c>
      <c r="D34">
        <v>101</v>
      </c>
      <c r="E34" t="s">
        <v>24</v>
      </c>
      <c r="F34">
        <v>5120</v>
      </c>
      <c r="G34">
        <v>2628</v>
      </c>
      <c r="H34">
        <v>0</v>
      </c>
      <c r="I34">
        <v>161</v>
      </c>
      <c r="J34">
        <v>0</v>
      </c>
      <c r="K34">
        <v>0</v>
      </c>
      <c r="L34">
        <v>0</v>
      </c>
      <c r="M34">
        <v>2456</v>
      </c>
      <c r="N34">
        <v>2456</v>
      </c>
      <c r="O34">
        <v>0</v>
      </c>
      <c r="P34">
        <v>0</v>
      </c>
      <c r="Q34">
        <v>10</v>
      </c>
      <c r="R34" s="1">
        <v>4000000</v>
      </c>
      <c r="S34">
        <v>74.5</v>
      </c>
      <c r="T34">
        <f t="shared" si="0"/>
        <v>51.328125</v>
      </c>
      <c r="U34">
        <f t="shared" si="1"/>
        <v>4</v>
      </c>
    </row>
    <row r="35" spans="1:21" x14ac:dyDescent="0.25">
      <c r="A35" t="s">
        <v>29</v>
      </c>
      <c r="B35">
        <v>59</v>
      </c>
      <c r="C35" t="s">
        <v>22</v>
      </c>
      <c r="D35">
        <v>101</v>
      </c>
      <c r="E35" t="s">
        <v>24</v>
      </c>
      <c r="F35">
        <v>20640</v>
      </c>
      <c r="G35">
        <v>10524</v>
      </c>
      <c r="H35">
        <v>0</v>
      </c>
      <c r="I35">
        <v>578</v>
      </c>
      <c r="J35">
        <v>0</v>
      </c>
      <c r="K35">
        <v>0</v>
      </c>
      <c r="L35">
        <v>0</v>
      </c>
      <c r="M35">
        <v>9900</v>
      </c>
      <c r="N35">
        <v>9900</v>
      </c>
      <c r="O35">
        <v>0</v>
      </c>
      <c r="P35">
        <v>0</v>
      </c>
      <c r="Q35">
        <v>46</v>
      </c>
      <c r="R35" s="1">
        <v>3200000</v>
      </c>
      <c r="S35">
        <v>74.5</v>
      </c>
      <c r="T35">
        <f t="shared" si="0"/>
        <v>50.988372093023258</v>
      </c>
      <c r="U35">
        <f t="shared" si="1"/>
        <v>3.2</v>
      </c>
    </row>
    <row r="36" spans="1:21" x14ac:dyDescent="0.25">
      <c r="A36" t="s">
        <v>29</v>
      </c>
      <c r="B36">
        <v>54</v>
      </c>
      <c r="C36" t="s">
        <v>22</v>
      </c>
      <c r="D36">
        <v>102</v>
      </c>
      <c r="E36" t="s">
        <v>21</v>
      </c>
      <c r="F36">
        <v>560</v>
      </c>
      <c r="G36">
        <v>369</v>
      </c>
      <c r="H36">
        <v>0</v>
      </c>
      <c r="I36">
        <v>10</v>
      </c>
      <c r="J36">
        <v>0</v>
      </c>
      <c r="K36">
        <v>0</v>
      </c>
      <c r="L36">
        <v>0</v>
      </c>
      <c r="M36">
        <v>358</v>
      </c>
      <c r="N36">
        <v>358</v>
      </c>
      <c r="O36">
        <v>0</v>
      </c>
      <c r="P36">
        <v>0</v>
      </c>
      <c r="Q36">
        <v>1</v>
      </c>
      <c r="R36" s="1">
        <v>5000000</v>
      </c>
      <c r="S36">
        <v>80.900000000000006</v>
      </c>
      <c r="T36">
        <f t="shared" si="0"/>
        <v>65.892857142857139</v>
      </c>
      <c r="U36">
        <f t="shared" si="1"/>
        <v>5</v>
      </c>
    </row>
    <row r="37" spans="1:21" x14ac:dyDescent="0.25">
      <c r="A37" t="s">
        <v>29</v>
      </c>
      <c r="B37">
        <v>54</v>
      </c>
      <c r="C37" t="s">
        <v>25</v>
      </c>
      <c r="D37">
        <v>102</v>
      </c>
      <c r="E37" t="s">
        <v>21</v>
      </c>
      <c r="F37">
        <v>762</v>
      </c>
      <c r="G37">
        <v>468</v>
      </c>
      <c r="H37">
        <v>0</v>
      </c>
      <c r="I37">
        <v>15</v>
      </c>
      <c r="J37">
        <v>0</v>
      </c>
      <c r="K37">
        <v>0</v>
      </c>
      <c r="L37">
        <v>0</v>
      </c>
      <c r="M37">
        <v>452</v>
      </c>
      <c r="N37">
        <v>452</v>
      </c>
      <c r="O37">
        <v>0</v>
      </c>
      <c r="P37">
        <v>0</v>
      </c>
      <c r="Q37">
        <v>1</v>
      </c>
      <c r="R37" s="1">
        <v>5000000</v>
      </c>
      <c r="S37">
        <v>80.900000000000006</v>
      </c>
      <c r="T37">
        <f t="shared" si="0"/>
        <v>61.417322834645667</v>
      </c>
      <c r="U37">
        <f t="shared" si="1"/>
        <v>5</v>
      </c>
    </row>
    <row r="38" spans="1:21" x14ac:dyDescent="0.25">
      <c r="A38" t="s">
        <v>29</v>
      </c>
      <c r="B38">
        <v>55</v>
      </c>
      <c r="C38" t="s">
        <v>23</v>
      </c>
      <c r="D38">
        <v>102</v>
      </c>
      <c r="E38" t="s">
        <v>21</v>
      </c>
      <c r="F38">
        <v>10368</v>
      </c>
      <c r="G38">
        <v>7775</v>
      </c>
      <c r="H38">
        <v>0</v>
      </c>
      <c r="I38">
        <v>158</v>
      </c>
      <c r="J38">
        <v>0</v>
      </c>
      <c r="K38">
        <v>0</v>
      </c>
      <c r="L38">
        <v>0</v>
      </c>
      <c r="M38">
        <v>7600</v>
      </c>
      <c r="N38">
        <v>7600</v>
      </c>
      <c r="O38">
        <v>0</v>
      </c>
      <c r="P38">
        <v>0</v>
      </c>
      <c r="Q38">
        <v>17</v>
      </c>
      <c r="R38" s="1">
        <v>2900000</v>
      </c>
      <c r="S38">
        <v>80.2</v>
      </c>
      <c r="T38">
        <f t="shared" si="0"/>
        <v>74.990354938271608</v>
      </c>
      <c r="U38">
        <f t="shared" si="1"/>
        <v>2.9</v>
      </c>
    </row>
    <row r="39" spans="1:21" x14ac:dyDescent="0.25">
      <c r="A39" t="s">
        <v>29</v>
      </c>
      <c r="B39">
        <v>55</v>
      </c>
      <c r="C39" t="s">
        <v>22</v>
      </c>
      <c r="D39">
        <v>102</v>
      </c>
      <c r="E39" t="s">
        <v>21</v>
      </c>
      <c r="F39">
        <v>9760</v>
      </c>
      <c r="G39">
        <v>6435</v>
      </c>
      <c r="H39">
        <v>0</v>
      </c>
      <c r="I39">
        <v>175</v>
      </c>
      <c r="J39">
        <v>0</v>
      </c>
      <c r="K39">
        <v>0</v>
      </c>
      <c r="L39">
        <v>0</v>
      </c>
      <c r="M39">
        <v>6242</v>
      </c>
      <c r="N39">
        <v>6242</v>
      </c>
      <c r="O39">
        <v>0</v>
      </c>
      <c r="P39">
        <v>0</v>
      </c>
      <c r="Q39">
        <v>18</v>
      </c>
      <c r="R39" s="1">
        <v>3100000</v>
      </c>
      <c r="S39">
        <v>80.2</v>
      </c>
      <c r="T39">
        <f t="shared" si="0"/>
        <v>65.932377049180332</v>
      </c>
      <c r="U39">
        <f t="shared" si="1"/>
        <v>3.1</v>
      </c>
    </row>
    <row r="40" spans="1:21" x14ac:dyDescent="0.25">
      <c r="A40" t="s">
        <v>29</v>
      </c>
      <c r="B40">
        <v>55</v>
      </c>
      <c r="C40" t="s">
        <v>25</v>
      </c>
      <c r="D40">
        <v>102</v>
      </c>
      <c r="E40" t="s">
        <v>21</v>
      </c>
      <c r="F40">
        <v>6150</v>
      </c>
      <c r="G40">
        <v>3780</v>
      </c>
      <c r="H40">
        <v>0</v>
      </c>
      <c r="I40">
        <v>123</v>
      </c>
      <c r="J40">
        <v>0</v>
      </c>
      <c r="K40">
        <v>0</v>
      </c>
      <c r="L40">
        <v>0</v>
      </c>
      <c r="M40">
        <v>3648</v>
      </c>
      <c r="N40">
        <v>3648</v>
      </c>
      <c r="O40">
        <v>0</v>
      </c>
      <c r="P40">
        <v>0</v>
      </c>
      <c r="Q40">
        <v>9</v>
      </c>
      <c r="R40" s="1">
        <v>3600000</v>
      </c>
      <c r="S40">
        <v>80.2</v>
      </c>
      <c r="T40">
        <f t="shared" si="0"/>
        <v>61.463414634146339</v>
      </c>
      <c r="U40">
        <f t="shared" si="1"/>
        <v>3.6</v>
      </c>
    </row>
    <row r="41" spans="1:21" x14ac:dyDescent="0.25">
      <c r="A41" t="s">
        <v>29</v>
      </c>
      <c r="B41">
        <v>49</v>
      </c>
      <c r="C41" t="s">
        <v>20</v>
      </c>
      <c r="D41">
        <v>103</v>
      </c>
      <c r="E41" t="s">
        <v>26</v>
      </c>
      <c r="F41">
        <v>10437</v>
      </c>
      <c r="G41">
        <v>7920</v>
      </c>
      <c r="H41">
        <v>0</v>
      </c>
      <c r="I41">
        <v>222</v>
      </c>
      <c r="J41">
        <v>0</v>
      </c>
      <c r="K41">
        <v>0</v>
      </c>
      <c r="L41">
        <v>0</v>
      </c>
      <c r="M41">
        <v>7686</v>
      </c>
      <c r="N41">
        <v>7686</v>
      </c>
      <c r="O41">
        <v>0</v>
      </c>
      <c r="P41">
        <v>0</v>
      </c>
      <c r="Q41">
        <v>12</v>
      </c>
      <c r="R41" s="1">
        <v>5300000</v>
      </c>
      <c r="S41">
        <v>83.9</v>
      </c>
      <c r="T41">
        <f t="shared" si="0"/>
        <v>75.883874676631223</v>
      </c>
      <c r="U41">
        <f t="shared" si="1"/>
        <v>5.3</v>
      </c>
    </row>
    <row r="42" spans="1:21" x14ac:dyDescent="0.25">
      <c r="A42" t="s">
        <v>29</v>
      </c>
      <c r="B42">
        <v>49</v>
      </c>
      <c r="C42" t="s">
        <v>23</v>
      </c>
      <c r="D42">
        <v>103</v>
      </c>
      <c r="E42" t="s">
        <v>26</v>
      </c>
      <c r="F42">
        <v>821</v>
      </c>
      <c r="G42">
        <v>677</v>
      </c>
      <c r="H42">
        <v>0</v>
      </c>
      <c r="I42">
        <v>11</v>
      </c>
      <c r="J42">
        <v>0</v>
      </c>
      <c r="K42">
        <v>0</v>
      </c>
      <c r="L42">
        <v>0</v>
      </c>
      <c r="M42">
        <v>665</v>
      </c>
      <c r="N42">
        <v>665</v>
      </c>
      <c r="O42">
        <v>0</v>
      </c>
      <c r="P42">
        <v>0</v>
      </c>
      <c r="Q42">
        <v>1</v>
      </c>
      <c r="R42" s="1">
        <v>5100000</v>
      </c>
      <c r="S42">
        <v>83.9</v>
      </c>
      <c r="T42">
        <f t="shared" si="0"/>
        <v>82.460414129110845</v>
      </c>
      <c r="U42">
        <f t="shared" si="1"/>
        <v>5.0999999999999996</v>
      </c>
    </row>
    <row r="43" spans="1:21" x14ac:dyDescent="0.25">
      <c r="A43" t="s">
        <v>29</v>
      </c>
      <c r="B43">
        <v>49</v>
      </c>
      <c r="C43" t="s">
        <v>22</v>
      </c>
      <c r="D43">
        <v>103</v>
      </c>
      <c r="E43" t="s">
        <v>26</v>
      </c>
      <c r="F43">
        <v>3451</v>
      </c>
      <c r="G43">
        <v>2630</v>
      </c>
      <c r="H43">
        <v>0</v>
      </c>
      <c r="I43">
        <v>78</v>
      </c>
      <c r="J43">
        <v>0</v>
      </c>
      <c r="K43">
        <v>0</v>
      </c>
      <c r="L43">
        <v>0</v>
      </c>
      <c r="M43">
        <v>2541</v>
      </c>
      <c r="N43">
        <v>2541</v>
      </c>
      <c r="O43">
        <v>0</v>
      </c>
      <c r="P43">
        <v>0</v>
      </c>
      <c r="Q43">
        <v>11</v>
      </c>
      <c r="R43" s="1">
        <v>5900000</v>
      </c>
      <c r="S43">
        <v>83.9</v>
      </c>
      <c r="T43">
        <f t="shared" si="0"/>
        <v>76.209794262532597</v>
      </c>
      <c r="U43">
        <f t="shared" si="1"/>
        <v>5.9</v>
      </c>
    </row>
    <row r="44" spans="1:21" x14ac:dyDescent="0.25">
      <c r="A44" t="s">
        <v>29</v>
      </c>
      <c r="B44">
        <v>50</v>
      </c>
      <c r="C44" t="s">
        <v>20</v>
      </c>
      <c r="D44">
        <v>103</v>
      </c>
      <c r="E44" t="s">
        <v>26</v>
      </c>
      <c r="F44">
        <v>10203</v>
      </c>
      <c r="G44">
        <v>7743</v>
      </c>
      <c r="H44">
        <v>0</v>
      </c>
      <c r="I44">
        <v>217</v>
      </c>
      <c r="J44">
        <v>0</v>
      </c>
      <c r="K44">
        <v>0</v>
      </c>
      <c r="L44">
        <v>0</v>
      </c>
      <c r="M44">
        <v>7514</v>
      </c>
      <c r="N44">
        <v>7514</v>
      </c>
      <c r="O44">
        <v>0</v>
      </c>
      <c r="P44">
        <v>0</v>
      </c>
      <c r="Q44">
        <v>12</v>
      </c>
      <c r="R44" s="1">
        <v>3700000</v>
      </c>
      <c r="S44">
        <v>83.5</v>
      </c>
      <c r="T44">
        <f t="shared" si="0"/>
        <v>75.889444281093802</v>
      </c>
      <c r="U44">
        <f t="shared" si="1"/>
        <v>3.7</v>
      </c>
    </row>
    <row r="45" spans="1:21" x14ac:dyDescent="0.25">
      <c r="A45" t="s">
        <v>29</v>
      </c>
      <c r="B45">
        <v>50</v>
      </c>
      <c r="C45" t="s">
        <v>20</v>
      </c>
      <c r="D45">
        <v>103</v>
      </c>
      <c r="E45" t="s">
        <v>26</v>
      </c>
      <c r="F45">
        <v>15480</v>
      </c>
      <c r="G45">
        <v>11693</v>
      </c>
      <c r="H45">
        <v>0</v>
      </c>
      <c r="I45">
        <v>274</v>
      </c>
      <c r="J45">
        <v>0</v>
      </c>
      <c r="K45">
        <v>0</v>
      </c>
      <c r="L45">
        <v>0</v>
      </c>
      <c r="M45">
        <v>11400</v>
      </c>
      <c r="N45">
        <v>11400</v>
      </c>
      <c r="O45">
        <v>0</v>
      </c>
      <c r="P45">
        <v>0</v>
      </c>
      <c r="Q45">
        <v>19</v>
      </c>
      <c r="R45" s="1">
        <v>2400000</v>
      </c>
      <c r="S45">
        <v>83.5</v>
      </c>
      <c r="T45">
        <f t="shared" si="0"/>
        <v>75.536175710594321</v>
      </c>
      <c r="U45">
        <f t="shared" si="1"/>
        <v>2.4</v>
      </c>
    </row>
    <row r="46" spans="1:21" x14ac:dyDescent="0.25">
      <c r="A46" t="s">
        <v>29</v>
      </c>
      <c r="B46">
        <v>50</v>
      </c>
      <c r="C46" t="s">
        <v>23</v>
      </c>
      <c r="D46">
        <v>103</v>
      </c>
      <c r="E46" t="s">
        <v>26</v>
      </c>
      <c r="F46">
        <v>6091</v>
      </c>
      <c r="G46">
        <v>5023</v>
      </c>
      <c r="H46">
        <v>0</v>
      </c>
      <c r="I46">
        <v>82</v>
      </c>
      <c r="J46">
        <v>0</v>
      </c>
      <c r="K46">
        <v>0</v>
      </c>
      <c r="L46">
        <v>0</v>
      </c>
      <c r="M46">
        <v>4935</v>
      </c>
      <c r="N46">
        <v>4935</v>
      </c>
      <c r="O46">
        <v>0</v>
      </c>
      <c r="P46">
        <v>0</v>
      </c>
      <c r="Q46">
        <v>6</v>
      </c>
      <c r="R46" s="1">
        <v>3400000</v>
      </c>
      <c r="S46">
        <v>83.5</v>
      </c>
      <c r="T46">
        <f t="shared" si="0"/>
        <v>82.46593334427844</v>
      </c>
      <c r="U46">
        <f t="shared" si="1"/>
        <v>3.4</v>
      </c>
    </row>
    <row r="47" spans="1:21" x14ac:dyDescent="0.25">
      <c r="A47" t="s">
        <v>29</v>
      </c>
      <c r="B47">
        <v>50</v>
      </c>
      <c r="C47" t="s">
        <v>22</v>
      </c>
      <c r="D47">
        <v>103</v>
      </c>
      <c r="E47" t="s">
        <v>26</v>
      </c>
      <c r="F47">
        <v>1709</v>
      </c>
      <c r="G47">
        <v>1303</v>
      </c>
      <c r="H47">
        <v>0</v>
      </c>
      <c r="I47">
        <v>39</v>
      </c>
      <c r="J47">
        <v>0</v>
      </c>
      <c r="K47">
        <v>0</v>
      </c>
      <c r="L47">
        <v>0</v>
      </c>
      <c r="M47">
        <v>1259</v>
      </c>
      <c r="N47">
        <v>1259</v>
      </c>
      <c r="O47">
        <v>0</v>
      </c>
      <c r="P47">
        <v>0</v>
      </c>
      <c r="Q47">
        <v>5</v>
      </c>
      <c r="R47" s="1">
        <v>3600000</v>
      </c>
      <c r="S47">
        <v>83.5</v>
      </c>
      <c r="T47">
        <f t="shared" si="0"/>
        <v>76.243417203042711</v>
      </c>
      <c r="U47">
        <f t="shared" si="1"/>
        <v>3.6</v>
      </c>
    </row>
    <row r="48" spans="1:21" x14ac:dyDescent="0.25">
      <c r="A48" t="s">
        <v>29</v>
      </c>
      <c r="B48">
        <v>50</v>
      </c>
      <c r="C48" t="s">
        <v>25</v>
      </c>
      <c r="D48">
        <v>103</v>
      </c>
      <c r="E48" t="s">
        <v>26</v>
      </c>
      <c r="F48">
        <v>3456</v>
      </c>
      <c r="G48">
        <v>2297</v>
      </c>
      <c r="H48">
        <v>0</v>
      </c>
      <c r="I48">
        <v>86</v>
      </c>
      <c r="J48">
        <v>0</v>
      </c>
      <c r="K48">
        <v>0</v>
      </c>
      <c r="L48">
        <v>0</v>
      </c>
      <c r="M48">
        <v>2200</v>
      </c>
      <c r="N48">
        <v>2200</v>
      </c>
      <c r="O48">
        <v>0</v>
      </c>
      <c r="P48">
        <v>0</v>
      </c>
      <c r="Q48">
        <v>11</v>
      </c>
      <c r="R48" s="1">
        <v>1600000</v>
      </c>
      <c r="S48">
        <v>83.5</v>
      </c>
      <c r="T48">
        <f t="shared" si="0"/>
        <v>66.464120370370367</v>
      </c>
      <c r="U48">
        <f t="shared" si="1"/>
        <v>1.6</v>
      </c>
    </row>
    <row r="49" spans="1:21" x14ac:dyDescent="0.25">
      <c r="A49" t="s">
        <v>29</v>
      </c>
      <c r="B49">
        <v>42</v>
      </c>
      <c r="C49" t="s">
        <v>20</v>
      </c>
      <c r="D49">
        <v>104</v>
      </c>
      <c r="E49" t="s">
        <v>26</v>
      </c>
      <c r="F49">
        <v>1376</v>
      </c>
      <c r="G49">
        <v>1067</v>
      </c>
      <c r="H49">
        <v>0</v>
      </c>
      <c r="I49">
        <v>25</v>
      </c>
      <c r="J49">
        <v>0</v>
      </c>
      <c r="K49">
        <v>0</v>
      </c>
      <c r="L49">
        <v>0</v>
      </c>
      <c r="M49">
        <v>1040</v>
      </c>
      <c r="N49">
        <v>1040</v>
      </c>
      <c r="O49">
        <v>0</v>
      </c>
      <c r="P49">
        <v>0</v>
      </c>
      <c r="Q49">
        <v>2</v>
      </c>
      <c r="R49" s="1">
        <v>5000000</v>
      </c>
      <c r="S49">
        <v>86.9</v>
      </c>
      <c r="T49">
        <f t="shared" si="0"/>
        <v>77.543604651162795</v>
      </c>
      <c r="U49">
        <f t="shared" si="1"/>
        <v>5</v>
      </c>
    </row>
    <row r="50" spans="1:21" x14ac:dyDescent="0.25">
      <c r="A50" t="s">
        <v>29</v>
      </c>
      <c r="B50">
        <v>42</v>
      </c>
      <c r="C50" t="s">
        <v>23</v>
      </c>
      <c r="D50">
        <v>104</v>
      </c>
      <c r="E50" t="s">
        <v>26</v>
      </c>
      <c r="F50">
        <v>2976</v>
      </c>
      <c r="G50">
        <v>2637</v>
      </c>
      <c r="H50">
        <v>0</v>
      </c>
      <c r="I50">
        <v>51</v>
      </c>
      <c r="J50">
        <v>0</v>
      </c>
      <c r="K50">
        <v>0</v>
      </c>
      <c r="L50">
        <v>0</v>
      </c>
      <c r="M50">
        <v>2583</v>
      </c>
      <c r="N50">
        <v>2583</v>
      </c>
      <c r="O50">
        <v>0</v>
      </c>
      <c r="P50">
        <v>0</v>
      </c>
      <c r="Q50">
        <v>3</v>
      </c>
      <c r="R50" s="1">
        <v>5900000</v>
      </c>
      <c r="S50">
        <v>86.9</v>
      </c>
      <c r="T50">
        <f t="shared" si="0"/>
        <v>88.608870967741936</v>
      </c>
      <c r="U50">
        <f t="shared" si="1"/>
        <v>5.9</v>
      </c>
    </row>
    <row r="51" spans="1:21" x14ac:dyDescent="0.25">
      <c r="A51" t="s">
        <v>29</v>
      </c>
      <c r="B51">
        <v>42</v>
      </c>
      <c r="C51" t="s">
        <v>22</v>
      </c>
      <c r="D51">
        <v>104</v>
      </c>
      <c r="E51" t="s">
        <v>26</v>
      </c>
      <c r="F51">
        <v>4820</v>
      </c>
      <c r="G51">
        <v>3755</v>
      </c>
      <c r="H51">
        <v>0</v>
      </c>
      <c r="I51">
        <v>98</v>
      </c>
      <c r="J51">
        <v>0</v>
      </c>
      <c r="K51">
        <v>0</v>
      </c>
      <c r="L51">
        <v>0</v>
      </c>
      <c r="M51">
        <v>3643</v>
      </c>
      <c r="N51">
        <v>3643</v>
      </c>
      <c r="O51">
        <v>0</v>
      </c>
      <c r="P51">
        <v>0</v>
      </c>
      <c r="Q51">
        <v>14</v>
      </c>
      <c r="R51" s="1">
        <v>7000000</v>
      </c>
      <c r="S51">
        <v>86.9</v>
      </c>
      <c r="T51">
        <f t="shared" si="0"/>
        <v>77.904564315352701</v>
      </c>
      <c r="U51">
        <f t="shared" si="1"/>
        <v>7</v>
      </c>
    </row>
    <row r="52" spans="1:21" x14ac:dyDescent="0.25">
      <c r="A52" t="s">
        <v>29</v>
      </c>
      <c r="B52">
        <v>42</v>
      </c>
      <c r="C52" t="s">
        <v>25</v>
      </c>
      <c r="D52">
        <v>104</v>
      </c>
      <c r="E52" t="s">
        <v>26</v>
      </c>
      <c r="F52">
        <v>3456</v>
      </c>
      <c r="G52">
        <v>2391</v>
      </c>
      <c r="H52">
        <v>0</v>
      </c>
      <c r="I52">
        <v>81</v>
      </c>
      <c r="J52">
        <v>0</v>
      </c>
      <c r="K52">
        <v>0</v>
      </c>
      <c r="L52">
        <v>0</v>
      </c>
      <c r="M52">
        <v>2300</v>
      </c>
      <c r="N52">
        <v>2300</v>
      </c>
      <c r="O52">
        <v>0</v>
      </c>
      <c r="P52">
        <v>0</v>
      </c>
      <c r="Q52">
        <v>10</v>
      </c>
      <c r="R52" s="1">
        <v>5700000</v>
      </c>
      <c r="S52">
        <v>86.9</v>
      </c>
      <c r="T52">
        <f t="shared" si="0"/>
        <v>69.184027777777771</v>
      </c>
      <c r="U52">
        <f t="shared" si="1"/>
        <v>5.7</v>
      </c>
    </row>
    <row r="53" spans="1:21" x14ac:dyDescent="0.25">
      <c r="A53" t="s">
        <v>29</v>
      </c>
      <c r="B53">
        <v>43</v>
      </c>
      <c r="C53" t="s">
        <v>20</v>
      </c>
      <c r="D53">
        <v>104</v>
      </c>
      <c r="E53" t="s">
        <v>26</v>
      </c>
      <c r="F53">
        <v>3784</v>
      </c>
      <c r="G53">
        <v>2933</v>
      </c>
      <c r="H53">
        <v>0</v>
      </c>
      <c r="I53">
        <v>68</v>
      </c>
      <c r="J53">
        <v>0</v>
      </c>
      <c r="K53">
        <v>0</v>
      </c>
      <c r="L53">
        <v>0</v>
      </c>
      <c r="M53">
        <v>2860</v>
      </c>
      <c r="N53">
        <v>2860</v>
      </c>
      <c r="O53">
        <v>0</v>
      </c>
      <c r="P53">
        <v>0</v>
      </c>
      <c r="Q53">
        <v>5</v>
      </c>
      <c r="R53" s="1">
        <v>3100000</v>
      </c>
      <c r="S53">
        <v>86.4</v>
      </c>
      <c r="T53">
        <f t="shared" si="0"/>
        <v>77.510570824524308</v>
      </c>
      <c r="U53">
        <f t="shared" si="1"/>
        <v>3.1</v>
      </c>
    </row>
    <row r="54" spans="1:21" x14ac:dyDescent="0.25">
      <c r="A54" t="s">
        <v>29</v>
      </c>
      <c r="B54">
        <v>43</v>
      </c>
      <c r="C54" t="s">
        <v>23</v>
      </c>
      <c r="D54">
        <v>104</v>
      </c>
      <c r="E54" t="s">
        <v>26</v>
      </c>
      <c r="F54">
        <v>7392</v>
      </c>
      <c r="G54">
        <v>6551</v>
      </c>
      <c r="H54">
        <v>0</v>
      </c>
      <c r="I54">
        <v>128</v>
      </c>
      <c r="J54">
        <v>0</v>
      </c>
      <c r="K54">
        <v>0</v>
      </c>
      <c r="L54">
        <v>0</v>
      </c>
      <c r="M54">
        <v>6417</v>
      </c>
      <c r="N54">
        <v>6417</v>
      </c>
      <c r="O54">
        <v>0</v>
      </c>
      <c r="P54">
        <v>0</v>
      </c>
      <c r="Q54">
        <v>6</v>
      </c>
      <c r="R54" s="1">
        <v>2300000</v>
      </c>
      <c r="S54">
        <v>86.4</v>
      </c>
      <c r="T54">
        <f t="shared" si="0"/>
        <v>88.622835497835496</v>
      </c>
      <c r="U54">
        <f t="shared" si="1"/>
        <v>2.2999999999999998</v>
      </c>
    </row>
    <row r="55" spans="1:21" x14ac:dyDescent="0.25">
      <c r="A55" t="s">
        <v>29</v>
      </c>
      <c r="B55">
        <v>43</v>
      </c>
      <c r="C55" t="s">
        <v>22</v>
      </c>
      <c r="D55">
        <v>104</v>
      </c>
      <c r="E55" t="s">
        <v>26</v>
      </c>
      <c r="F55">
        <v>340</v>
      </c>
      <c r="G55">
        <v>265</v>
      </c>
      <c r="H55">
        <v>0</v>
      </c>
      <c r="I55">
        <v>7</v>
      </c>
      <c r="J55">
        <v>0</v>
      </c>
      <c r="K55">
        <v>0</v>
      </c>
      <c r="L55">
        <v>0</v>
      </c>
      <c r="M55">
        <v>257</v>
      </c>
      <c r="N55">
        <v>257</v>
      </c>
      <c r="O55">
        <v>0</v>
      </c>
      <c r="P55">
        <v>0</v>
      </c>
      <c r="Q55">
        <v>1</v>
      </c>
      <c r="R55" s="1">
        <v>4000000</v>
      </c>
      <c r="S55">
        <v>86.4</v>
      </c>
      <c r="T55">
        <f t="shared" si="0"/>
        <v>77.941176470588232</v>
      </c>
      <c r="U55">
        <f t="shared" si="1"/>
        <v>4</v>
      </c>
    </row>
    <row r="56" spans="1:21" x14ac:dyDescent="0.25">
      <c r="A56" t="s">
        <v>29</v>
      </c>
      <c r="B56">
        <v>35</v>
      </c>
      <c r="C56" t="s">
        <v>23</v>
      </c>
      <c r="D56">
        <v>105</v>
      </c>
      <c r="E56" t="s">
        <v>21</v>
      </c>
      <c r="F56">
        <v>20736</v>
      </c>
      <c r="G56">
        <v>18286</v>
      </c>
      <c r="H56">
        <v>0</v>
      </c>
      <c r="I56">
        <v>169</v>
      </c>
      <c r="J56">
        <v>0</v>
      </c>
      <c r="K56">
        <v>0</v>
      </c>
      <c r="L56">
        <v>0</v>
      </c>
      <c r="M56">
        <v>18100</v>
      </c>
      <c r="N56">
        <v>18100</v>
      </c>
      <c r="O56">
        <v>0</v>
      </c>
      <c r="P56">
        <v>0</v>
      </c>
      <c r="Q56">
        <v>17</v>
      </c>
      <c r="R56" s="1">
        <v>2400000</v>
      </c>
      <c r="S56">
        <v>90.5</v>
      </c>
      <c r="T56">
        <f t="shared" si="0"/>
        <v>88.184799382716051</v>
      </c>
      <c r="U56">
        <f t="shared" si="1"/>
        <v>2.4</v>
      </c>
    </row>
    <row r="57" spans="1:21" x14ac:dyDescent="0.25">
      <c r="A57" t="s">
        <v>29</v>
      </c>
      <c r="B57">
        <v>35</v>
      </c>
      <c r="C57" t="s">
        <v>27</v>
      </c>
      <c r="D57">
        <v>105</v>
      </c>
      <c r="E57" t="s">
        <v>21</v>
      </c>
      <c r="F57">
        <v>20736</v>
      </c>
      <c r="G57">
        <v>18630</v>
      </c>
      <c r="H57">
        <v>0</v>
      </c>
      <c r="I57">
        <v>118</v>
      </c>
      <c r="J57">
        <v>0</v>
      </c>
      <c r="K57">
        <v>0</v>
      </c>
      <c r="L57">
        <v>0</v>
      </c>
      <c r="M57">
        <v>18500</v>
      </c>
      <c r="N57">
        <v>18500</v>
      </c>
      <c r="O57">
        <v>0</v>
      </c>
      <c r="P57">
        <v>0</v>
      </c>
      <c r="Q57">
        <v>12</v>
      </c>
      <c r="R57" s="1">
        <v>3200000</v>
      </c>
      <c r="S57">
        <v>90.5</v>
      </c>
      <c r="T57">
        <f t="shared" si="0"/>
        <v>89.84375</v>
      </c>
      <c r="U57">
        <f t="shared" si="1"/>
        <v>3.2</v>
      </c>
    </row>
    <row r="58" spans="1:21" x14ac:dyDescent="0.25">
      <c r="A58" t="s">
        <v>29</v>
      </c>
      <c r="B58">
        <v>35</v>
      </c>
      <c r="C58" t="s">
        <v>27</v>
      </c>
      <c r="D58">
        <v>105</v>
      </c>
      <c r="E58" t="s">
        <v>21</v>
      </c>
      <c r="F58">
        <v>6912</v>
      </c>
      <c r="G58">
        <v>6252</v>
      </c>
      <c r="H58">
        <v>0</v>
      </c>
      <c r="I58">
        <v>47</v>
      </c>
      <c r="J58">
        <v>0</v>
      </c>
      <c r="K58">
        <v>0</v>
      </c>
      <c r="L58">
        <v>0</v>
      </c>
      <c r="M58">
        <v>6200</v>
      </c>
      <c r="N58">
        <v>6200</v>
      </c>
      <c r="O58">
        <v>0</v>
      </c>
      <c r="P58">
        <v>0</v>
      </c>
      <c r="Q58">
        <v>5</v>
      </c>
      <c r="R58" s="1">
        <v>2000000</v>
      </c>
      <c r="S58">
        <v>90.5</v>
      </c>
      <c r="T58">
        <f t="shared" si="0"/>
        <v>90.451388888888886</v>
      </c>
      <c r="U58">
        <f t="shared" si="1"/>
        <v>2</v>
      </c>
    </row>
    <row r="59" spans="1:21" x14ac:dyDescent="0.25">
      <c r="A59" t="s">
        <v>29</v>
      </c>
      <c r="B59">
        <v>35</v>
      </c>
      <c r="C59" t="s">
        <v>28</v>
      </c>
      <c r="D59">
        <v>105</v>
      </c>
      <c r="E59" t="s">
        <v>21</v>
      </c>
      <c r="F59">
        <v>13824</v>
      </c>
      <c r="G59">
        <v>11587</v>
      </c>
      <c r="H59">
        <v>0</v>
      </c>
      <c r="I59">
        <v>78</v>
      </c>
      <c r="J59">
        <v>0</v>
      </c>
      <c r="K59">
        <v>0</v>
      </c>
      <c r="L59">
        <v>0</v>
      </c>
      <c r="M59">
        <v>11500</v>
      </c>
      <c r="N59">
        <v>11500</v>
      </c>
      <c r="O59">
        <v>0</v>
      </c>
      <c r="P59">
        <v>0</v>
      </c>
      <c r="Q59">
        <v>9</v>
      </c>
      <c r="R59" s="1">
        <v>3100000</v>
      </c>
      <c r="S59">
        <v>90.5</v>
      </c>
      <c r="T59">
        <f t="shared" si="0"/>
        <v>83.81799768518519</v>
      </c>
      <c r="U59">
        <f t="shared" si="1"/>
        <v>3.1</v>
      </c>
    </row>
    <row r="60" spans="1:21" x14ac:dyDescent="0.25">
      <c r="A60" t="s">
        <v>30</v>
      </c>
      <c r="B60">
        <v>60</v>
      </c>
      <c r="C60" t="s">
        <v>20</v>
      </c>
      <c r="D60">
        <v>100</v>
      </c>
      <c r="E60" t="s">
        <v>21</v>
      </c>
      <c r="F60">
        <v>8560</v>
      </c>
      <c r="G60">
        <v>5217</v>
      </c>
      <c r="H60">
        <v>0</v>
      </c>
      <c r="I60">
        <v>146</v>
      </c>
      <c r="J60">
        <v>0</v>
      </c>
      <c r="K60">
        <v>0</v>
      </c>
      <c r="L60">
        <v>0</v>
      </c>
      <c r="M60">
        <v>5060</v>
      </c>
      <c r="N60">
        <v>5060</v>
      </c>
      <c r="O60">
        <v>0</v>
      </c>
      <c r="P60">
        <v>0</v>
      </c>
      <c r="Q60">
        <v>12</v>
      </c>
      <c r="R60" s="1">
        <v>6000000</v>
      </c>
      <c r="S60">
        <v>76.3</v>
      </c>
      <c r="T60">
        <f t="shared" si="0"/>
        <v>60.946261682242991</v>
      </c>
      <c r="U60">
        <f t="shared" si="1"/>
        <v>6</v>
      </c>
    </row>
    <row r="61" spans="1:21" x14ac:dyDescent="0.25">
      <c r="A61" t="s">
        <v>30</v>
      </c>
      <c r="B61">
        <v>61</v>
      </c>
      <c r="C61" t="s">
        <v>20</v>
      </c>
      <c r="D61">
        <v>100</v>
      </c>
      <c r="E61" t="s">
        <v>21</v>
      </c>
      <c r="F61">
        <v>12080</v>
      </c>
      <c r="G61">
        <v>7363</v>
      </c>
      <c r="H61">
        <v>0</v>
      </c>
      <c r="I61">
        <v>206</v>
      </c>
      <c r="J61">
        <v>0</v>
      </c>
      <c r="K61">
        <v>0</v>
      </c>
      <c r="L61">
        <v>0</v>
      </c>
      <c r="M61">
        <v>7140</v>
      </c>
      <c r="N61">
        <v>7140</v>
      </c>
      <c r="O61">
        <v>0</v>
      </c>
      <c r="P61">
        <v>0</v>
      </c>
      <c r="Q61">
        <v>16</v>
      </c>
      <c r="R61" s="1">
        <v>5000000</v>
      </c>
      <c r="S61">
        <v>75.5</v>
      </c>
      <c r="T61">
        <f t="shared" si="0"/>
        <v>60.951986754966889</v>
      </c>
      <c r="U61">
        <f t="shared" si="1"/>
        <v>5</v>
      </c>
    </row>
    <row r="62" spans="1:21" x14ac:dyDescent="0.25">
      <c r="A62" t="s">
        <v>30</v>
      </c>
      <c r="B62">
        <v>61</v>
      </c>
      <c r="C62" t="s">
        <v>20</v>
      </c>
      <c r="D62">
        <v>100</v>
      </c>
      <c r="E62" t="s">
        <v>21</v>
      </c>
      <c r="F62">
        <v>20640</v>
      </c>
      <c r="G62">
        <v>12691</v>
      </c>
      <c r="H62">
        <v>0</v>
      </c>
      <c r="I62">
        <v>364</v>
      </c>
      <c r="J62">
        <v>0</v>
      </c>
      <c r="K62">
        <v>0</v>
      </c>
      <c r="L62">
        <v>0</v>
      </c>
      <c r="M62">
        <v>12300</v>
      </c>
      <c r="N62">
        <v>12300</v>
      </c>
      <c r="O62">
        <v>0</v>
      </c>
      <c r="P62">
        <v>0</v>
      </c>
      <c r="Q62">
        <v>27</v>
      </c>
      <c r="R62" s="1">
        <v>4400000</v>
      </c>
      <c r="S62">
        <v>75.5</v>
      </c>
      <c r="T62">
        <f t="shared" si="0"/>
        <v>61.487403100775197</v>
      </c>
      <c r="U62">
        <f t="shared" si="1"/>
        <v>4.4000000000000004</v>
      </c>
    </row>
    <row r="63" spans="1:21" x14ac:dyDescent="0.25">
      <c r="A63" t="s">
        <v>30</v>
      </c>
      <c r="B63">
        <v>61</v>
      </c>
      <c r="C63" t="s">
        <v>20</v>
      </c>
      <c r="D63">
        <v>100</v>
      </c>
      <c r="E63" t="s">
        <v>21</v>
      </c>
      <c r="F63">
        <v>20640</v>
      </c>
      <c r="G63">
        <v>12635</v>
      </c>
      <c r="H63">
        <v>0</v>
      </c>
      <c r="I63">
        <v>403</v>
      </c>
      <c r="J63">
        <v>0</v>
      </c>
      <c r="K63">
        <v>0</v>
      </c>
      <c r="L63">
        <v>0</v>
      </c>
      <c r="M63">
        <v>12200</v>
      </c>
      <c r="N63">
        <v>12200</v>
      </c>
      <c r="O63">
        <v>0</v>
      </c>
      <c r="P63">
        <v>0</v>
      </c>
      <c r="Q63">
        <v>32</v>
      </c>
      <c r="R63" s="1">
        <v>3100000</v>
      </c>
      <c r="S63">
        <v>75.5</v>
      </c>
      <c r="T63">
        <f t="shared" si="0"/>
        <v>61.21608527131783</v>
      </c>
      <c r="U63">
        <f t="shared" si="1"/>
        <v>3.1</v>
      </c>
    </row>
    <row r="64" spans="1:21" x14ac:dyDescent="0.25">
      <c r="A64" t="s">
        <v>30</v>
      </c>
      <c r="B64">
        <v>61</v>
      </c>
      <c r="C64" t="s">
        <v>23</v>
      </c>
      <c r="D64">
        <v>100</v>
      </c>
      <c r="E64" t="s">
        <v>21</v>
      </c>
      <c r="F64">
        <v>10368</v>
      </c>
      <c r="G64">
        <v>7098</v>
      </c>
      <c r="H64">
        <v>0</v>
      </c>
      <c r="I64">
        <v>177</v>
      </c>
      <c r="J64">
        <v>0</v>
      </c>
      <c r="K64">
        <v>0</v>
      </c>
      <c r="L64">
        <v>0</v>
      </c>
      <c r="M64">
        <v>6900</v>
      </c>
      <c r="N64">
        <v>6900</v>
      </c>
      <c r="O64">
        <v>0</v>
      </c>
      <c r="P64">
        <v>0</v>
      </c>
      <c r="Q64">
        <v>21</v>
      </c>
      <c r="R64" s="1">
        <v>2900000</v>
      </c>
      <c r="S64">
        <v>75.5</v>
      </c>
      <c r="T64">
        <f t="shared" si="0"/>
        <v>68.460648148148152</v>
      </c>
      <c r="U64">
        <f t="shared" si="1"/>
        <v>2.9</v>
      </c>
    </row>
    <row r="65" spans="1:21" x14ac:dyDescent="0.25">
      <c r="A65" t="s">
        <v>30</v>
      </c>
      <c r="B65">
        <v>61</v>
      </c>
      <c r="C65" t="s">
        <v>23</v>
      </c>
      <c r="D65">
        <v>100</v>
      </c>
      <c r="E65" t="s">
        <v>21</v>
      </c>
      <c r="F65">
        <v>17280</v>
      </c>
      <c r="G65">
        <v>11908</v>
      </c>
      <c r="H65">
        <v>0</v>
      </c>
      <c r="I65">
        <v>281</v>
      </c>
      <c r="J65">
        <v>0</v>
      </c>
      <c r="K65">
        <v>0</v>
      </c>
      <c r="L65">
        <v>0</v>
      </c>
      <c r="M65">
        <v>11600</v>
      </c>
      <c r="N65">
        <v>11600</v>
      </c>
      <c r="O65">
        <v>0</v>
      </c>
      <c r="P65">
        <v>0</v>
      </c>
      <c r="Q65">
        <v>27</v>
      </c>
      <c r="R65" s="1">
        <v>2000000</v>
      </c>
      <c r="S65">
        <v>75.5</v>
      </c>
      <c r="T65">
        <f t="shared" si="0"/>
        <v>68.912037037037038</v>
      </c>
      <c r="U65">
        <f t="shared" si="1"/>
        <v>2</v>
      </c>
    </row>
    <row r="66" spans="1:21" x14ac:dyDescent="0.25">
      <c r="A66" t="s">
        <v>30</v>
      </c>
      <c r="B66">
        <v>61</v>
      </c>
      <c r="C66" t="s">
        <v>23</v>
      </c>
      <c r="D66">
        <v>100</v>
      </c>
      <c r="E66" t="s">
        <v>21</v>
      </c>
      <c r="F66">
        <v>3456</v>
      </c>
      <c r="G66">
        <v>1480</v>
      </c>
      <c r="H66">
        <v>0</v>
      </c>
      <c r="I66">
        <v>64</v>
      </c>
      <c r="J66">
        <v>0</v>
      </c>
      <c r="K66">
        <v>0</v>
      </c>
      <c r="L66">
        <v>0</v>
      </c>
      <c r="M66">
        <v>1400</v>
      </c>
      <c r="N66">
        <v>1400</v>
      </c>
      <c r="O66">
        <v>0</v>
      </c>
      <c r="P66">
        <v>0</v>
      </c>
      <c r="Q66">
        <v>16</v>
      </c>
      <c r="R66" s="1">
        <v>2000000</v>
      </c>
      <c r="S66">
        <v>75.5</v>
      </c>
      <c r="T66">
        <f t="shared" si="0"/>
        <v>42.824074074074076</v>
      </c>
      <c r="U66">
        <f t="shared" si="1"/>
        <v>2</v>
      </c>
    </row>
    <row r="67" spans="1:21" x14ac:dyDescent="0.25">
      <c r="A67" t="s">
        <v>30</v>
      </c>
      <c r="B67">
        <v>58</v>
      </c>
      <c r="C67" t="s">
        <v>20</v>
      </c>
      <c r="D67">
        <v>101</v>
      </c>
      <c r="E67" t="s">
        <v>24</v>
      </c>
      <c r="F67">
        <v>20640</v>
      </c>
      <c r="G67">
        <v>10719</v>
      </c>
      <c r="H67">
        <v>0</v>
      </c>
      <c r="I67">
        <v>376</v>
      </c>
      <c r="J67">
        <v>0</v>
      </c>
      <c r="K67">
        <v>0</v>
      </c>
      <c r="L67">
        <v>0</v>
      </c>
      <c r="M67">
        <v>10300</v>
      </c>
      <c r="N67">
        <v>10300</v>
      </c>
      <c r="O67">
        <v>0</v>
      </c>
      <c r="P67">
        <v>0</v>
      </c>
      <c r="Q67">
        <v>43</v>
      </c>
      <c r="R67" s="1">
        <v>9000000</v>
      </c>
      <c r="S67">
        <v>75</v>
      </c>
      <c r="T67">
        <f t="shared" ref="T67:T86" si="2">100*G67/F67</f>
        <v>51.933139534883722</v>
      </c>
      <c r="U67">
        <f t="shared" ref="U67:U86" si="3">R67/1000000</f>
        <v>9</v>
      </c>
    </row>
    <row r="68" spans="1:21" x14ac:dyDescent="0.25">
      <c r="A68" t="s">
        <v>30</v>
      </c>
      <c r="B68">
        <v>59</v>
      </c>
      <c r="C68" t="s">
        <v>23</v>
      </c>
      <c r="D68">
        <v>101</v>
      </c>
      <c r="E68" t="s">
        <v>24</v>
      </c>
      <c r="F68">
        <v>10368</v>
      </c>
      <c r="G68">
        <v>6427</v>
      </c>
      <c r="H68">
        <v>0</v>
      </c>
      <c r="I68">
        <v>104</v>
      </c>
      <c r="J68">
        <v>0</v>
      </c>
      <c r="K68">
        <v>0</v>
      </c>
      <c r="L68">
        <v>0</v>
      </c>
      <c r="M68">
        <v>6300</v>
      </c>
      <c r="N68">
        <v>6300</v>
      </c>
      <c r="O68">
        <v>0</v>
      </c>
      <c r="P68">
        <v>0</v>
      </c>
      <c r="Q68">
        <v>23</v>
      </c>
      <c r="R68" s="1">
        <v>2800000</v>
      </c>
      <c r="S68">
        <v>74.5</v>
      </c>
      <c r="T68">
        <f t="shared" si="2"/>
        <v>61.988811728395063</v>
      </c>
      <c r="U68">
        <f t="shared" si="3"/>
        <v>2.8</v>
      </c>
    </row>
    <row r="69" spans="1:21" x14ac:dyDescent="0.25">
      <c r="A69" t="s">
        <v>30</v>
      </c>
      <c r="B69">
        <v>59</v>
      </c>
      <c r="C69" t="s">
        <v>23</v>
      </c>
      <c r="D69">
        <v>101</v>
      </c>
      <c r="E69" t="s">
        <v>24</v>
      </c>
      <c r="F69">
        <v>6912</v>
      </c>
      <c r="G69">
        <v>4181</v>
      </c>
      <c r="H69">
        <v>0</v>
      </c>
      <c r="I69">
        <v>71</v>
      </c>
      <c r="J69">
        <v>0</v>
      </c>
      <c r="K69">
        <v>0</v>
      </c>
      <c r="L69">
        <v>0</v>
      </c>
      <c r="M69">
        <v>4100</v>
      </c>
      <c r="N69">
        <v>4100</v>
      </c>
      <c r="O69">
        <v>0</v>
      </c>
      <c r="P69">
        <v>0</v>
      </c>
      <c r="Q69">
        <v>10</v>
      </c>
      <c r="R69" s="1">
        <v>2000000</v>
      </c>
      <c r="S69">
        <v>74.5</v>
      </c>
      <c r="T69">
        <f t="shared" si="2"/>
        <v>60.489004629629626</v>
      </c>
      <c r="U69">
        <f t="shared" si="3"/>
        <v>2</v>
      </c>
    </row>
    <row r="70" spans="1:21" x14ac:dyDescent="0.25">
      <c r="A70" t="s">
        <v>30</v>
      </c>
      <c r="B70">
        <v>59</v>
      </c>
      <c r="C70" t="s">
        <v>22</v>
      </c>
      <c r="D70">
        <v>101</v>
      </c>
      <c r="E70" t="s">
        <v>24</v>
      </c>
      <c r="F70">
        <v>10320</v>
      </c>
      <c r="G70">
        <v>5723</v>
      </c>
      <c r="H70">
        <v>0</v>
      </c>
      <c r="I70">
        <v>106</v>
      </c>
      <c r="J70">
        <v>0</v>
      </c>
      <c r="K70">
        <v>0</v>
      </c>
      <c r="L70">
        <v>0</v>
      </c>
      <c r="M70">
        <v>5600</v>
      </c>
      <c r="N70">
        <v>5600</v>
      </c>
      <c r="O70">
        <v>0</v>
      </c>
      <c r="P70">
        <v>0</v>
      </c>
      <c r="Q70">
        <v>17</v>
      </c>
      <c r="R70" s="1">
        <v>3000000</v>
      </c>
      <c r="S70">
        <v>74.5</v>
      </c>
      <c r="T70">
        <f t="shared" si="2"/>
        <v>55.45542635658915</v>
      </c>
      <c r="U70">
        <f t="shared" si="3"/>
        <v>3</v>
      </c>
    </row>
    <row r="71" spans="1:21" x14ac:dyDescent="0.25">
      <c r="A71" t="s">
        <v>30</v>
      </c>
      <c r="B71">
        <v>55</v>
      </c>
      <c r="C71" t="s">
        <v>23</v>
      </c>
      <c r="D71">
        <v>102</v>
      </c>
      <c r="E71" t="s">
        <v>21</v>
      </c>
      <c r="F71">
        <v>6912</v>
      </c>
      <c r="G71">
        <v>5812</v>
      </c>
      <c r="H71">
        <v>0</v>
      </c>
      <c r="I71">
        <v>93</v>
      </c>
      <c r="J71">
        <v>0</v>
      </c>
      <c r="K71">
        <v>0</v>
      </c>
      <c r="L71">
        <v>0</v>
      </c>
      <c r="M71">
        <v>5700</v>
      </c>
      <c r="N71">
        <v>5700</v>
      </c>
      <c r="O71">
        <v>0</v>
      </c>
      <c r="P71">
        <v>0</v>
      </c>
      <c r="Q71">
        <v>19</v>
      </c>
      <c r="R71" s="1">
        <v>3000000</v>
      </c>
      <c r="S71">
        <v>80.2</v>
      </c>
      <c r="T71">
        <f t="shared" si="2"/>
        <v>84.085648148148152</v>
      </c>
      <c r="U71">
        <f t="shared" si="3"/>
        <v>3</v>
      </c>
    </row>
    <row r="72" spans="1:21" x14ac:dyDescent="0.25">
      <c r="A72" t="s">
        <v>30</v>
      </c>
      <c r="B72">
        <v>55</v>
      </c>
      <c r="C72" t="s">
        <v>27</v>
      </c>
      <c r="D72">
        <v>102</v>
      </c>
      <c r="E72" t="s">
        <v>21</v>
      </c>
      <c r="F72">
        <v>10368</v>
      </c>
      <c r="G72">
        <v>8209</v>
      </c>
      <c r="H72">
        <v>0</v>
      </c>
      <c r="I72">
        <v>93</v>
      </c>
      <c r="J72">
        <v>0</v>
      </c>
      <c r="K72">
        <v>0</v>
      </c>
      <c r="L72">
        <v>0</v>
      </c>
      <c r="M72">
        <v>8100</v>
      </c>
      <c r="N72">
        <v>8100</v>
      </c>
      <c r="O72">
        <v>0</v>
      </c>
      <c r="P72">
        <v>0</v>
      </c>
      <c r="Q72">
        <v>16</v>
      </c>
      <c r="R72" s="1">
        <v>2800000</v>
      </c>
      <c r="S72">
        <v>80.2</v>
      </c>
      <c r="T72">
        <f t="shared" si="2"/>
        <v>79.176311728395063</v>
      </c>
      <c r="U72">
        <f t="shared" si="3"/>
        <v>2.8</v>
      </c>
    </row>
    <row r="73" spans="1:21" x14ac:dyDescent="0.25">
      <c r="A73" t="s">
        <v>30</v>
      </c>
      <c r="B73">
        <v>55</v>
      </c>
      <c r="C73" t="s">
        <v>25</v>
      </c>
      <c r="D73">
        <v>102</v>
      </c>
      <c r="E73" t="s">
        <v>21</v>
      </c>
      <c r="F73">
        <v>3456</v>
      </c>
      <c r="G73">
        <v>1986</v>
      </c>
      <c r="H73">
        <v>0</v>
      </c>
      <c r="I73">
        <v>69</v>
      </c>
      <c r="J73">
        <v>0</v>
      </c>
      <c r="K73">
        <v>0</v>
      </c>
      <c r="L73">
        <v>0</v>
      </c>
      <c r="M73">
        <v>1900</v>
      </c>
      <c r="N73">
        <v>1900</v>
      </c>
      <c r="O73">
        <v>0</v>
      </c>
      <c r="P73">
        <v>0</v>
      </c>
      <c r="Q73">
        <v>17</v>
      </c>
      <c r="R73" s="1">
        <v>3300000</v>
      </c>
      <c r="S73">
        <v>80.2</v>
      </c>
      <c r="T73">
        <f t="shared" si="2"/>
        <v>57.465277777777779</v>
      </c>
      <c r="U73">
        <f t="shared" si="3"/>
        <v>3.3</v>
      </c>
    </row>
    <row r="74" spans="1:21" x14ac:dyDescent="0.25">
      <c r="A74" t="s">
        <v>30</v>
      </c>
      <c r="B74">
        <v>50</v>
      </c>
      <c r="C74" t="s">
        <v>20</v>
      </c>
      <c r="D74">
        <v>103</v>
      </c>
      <c r="E74" t="s">
        <v>26</v>
      </c>
      <c r="F74">
        <v>15480</v>
      </c>
      <c r="G74">
        <v>12334</v>
      </c>
      <c r="H74">
        <v>0</v>
      </c>
      <c r="I74">
        <v>215</v>
      </c>
      <c r="J74">
        <v>0</v>
      </c>
      <c r="K74">
        <v>0</v>
      </c>
      <c r="L74">
        <v>0</v>
      </c>
      <c r="M74">
        <v>12100</v>
      </c>
      <c r="N74">
        <v>12100</v>
      </c>
      <c r="O74">
        <v>0</v>
      </c>
      <c r="P74">
        <v>0</v>
      </c>
      <c r="Q74">
        <v>19</v>
      </c>
      <c r="R74" s="1">
        <v>2200000</v>
      </c>
      <c r="S74">
        <v>83.5</v>
      </c>
      <c r="T74">
        <f t="shared" si="2"/>
        <v>79.677002583979331</v>
      </c>
      <c r="U74">
        <f t="shared" si="3"/>
        <v>2.2000000000000002</v>
      </c>
    </row>
    <row r="75" spans="1:21" x14ac:dyDescent="0.25">
      <c r="A75" t="s">
        <v>30</v>
      </c>
      <c r="B75">
        <v>50</v>
      </c>
      <c r="C75" t="s">
        <v>23</v>
      </c>
      <c r="D75">
        <v>103</v>
      </c>
      <c r="E75" t="s">
        <v>26</v>
      </c>
      <c r="F75">
        <v>20736</v>
      </c>
      <c r="G75">
        <v>16567</v>
      </c>
      <c r="H75">
        <v>0</v>
      </c>
      <c r="I75">
        <v>348</v>
      </c>
      <c r="J75">
        <v>0</v>
      </c>
      <c r="K75">
        <v>0</v>
      </c>
      <c r="L75">
        <v>0</v>
      </c>
      <c r="M75">
        <v>16200</v>
      </c>
      <c r="N75">
        <v>16200</v>
      </c>
      <c r="O75">
        <v>0</v>
      </c>
      <c r="P75">
        <v>0</v>
      </c>
      <c r="Q75">
        <v>19</v>
      </c>
      <c r="R75" s="1">
        <v>2600000</v>
      </c>
      <c r="S75">
        <v>83.5</v>
      </c>
      <c r="T75">
        <f t="shared" si="2"/>
        <v>79.894868827160494</v>
      </c>
      <c r="U75">
        <f t="shared" si="3"/>
        <v>2.6</v>
      </c>
    </row>
    <row r="76" spans="1:21" x14ac:dyDescent="0.25">
      <c r="A76" t="s">
        <v>30</v>
      </c>
      <c r="B76">
        <v>50</v>
      </c>
      <c r="C76" t="s">
        <v>23</v>
      </c>
      <c r="D76">
        <v>103</v>
      </c>
      <c r="E76" t="s">
        <v>26</v>
      </c>
      <c r="F76">
        <v>10368</v>
      </c>
      <c r="G76">
        <v>8486</v>
      </c>
      <c r="H76">
        <v>0</v>
      </c>
      <c r="I76">
        <v>264</v>
      </c>
      <c r="J76">
        <v>0</v>
      </c>
      <c r="K76">
        <v>0</v>
      </c>
      <c r="L76">
        <v>0</v>
      </c>
      <c r="M76">
        <v>8200</v>
      </c>
      <c r="N76">
        <v>8200</v>
      </c>
      <c r="O76">
        <v>0</v>
      </c>
      <c r="P76">
        <v>0</v>
      </c>
      <c r="Q76">
        <v>22</v>
      </c>
      <c r="R76" s="1">
        <v>2000000</v>
      </c>
      <c r="S76">
        <v>83.5</v>
      </c>
      <c r="T76">
        <f t="shared" si="2"/>
        <v>81.847993827160494</v>
      </c>
      <c r="U76">
        <f t="shared" si="3"/>
        <v>2</v>
      </c>
    </row>
    <row r="77" spans="1:21" x14ac:dyDescent="0.25">
      <c r="A77" t="s">
        <v>30</v>
      </c>
      <c r="B77">
        <v>50</v>
      </c>
      <c r="C77" t="s">
        <v>22</v>
      </c>
      <c r="D77">
        <v>103</v>
      </c>
      <c r="E77" t="s">
        <v>26</v>
      </c>
      <c r="F77">
        <v>5160</v>
      </c>
      <c r="G77">
        <v>3514</v>
      </c>
      <c r="H77">
        <v>0</v>
      </c>
      <c r="I77">
        <v>91</v>
      </c>
      <c r="J77">
        <v>0</v>
      </c>
      <c r="K77">
        <v>0</v>
      </c>
      <c r="L77">
        <v>0</v>
      </c>
      <c r="M77">
        <v>3400</v>
      </c>
      <c r="N77">
        <v>3400</v>
      </c>
      <c r="O77">
        <v>0</v>
      </c>
      <c r="P77">
        <v>0</v>
      </c>
      <c r="Q77">
        <v>23</v>
      </c>
      <c r="R77" s="1">
        <v>2800000</v>
      </c>
      <c r="S77">
        <v>83.5</v>
      </c>
      <c r="T77">
        <f t="shared" si="2"/>
        <v>68.100775193798455</v>
      </c>
      <c r="U77">
        <f t="shared" si="3"/>
        <v>2.8</v>
      </c>
    </row>
    <row r="78" spans="1:21" x14ac:dyDescent="0.25">
      <c r="A78" t="s">
        <v>30</v>
      </c>
      <c r="B78">
        <v>50</v>
      </c>
      <c r="C78" t="s">
        <v>25</v>
      </c>
      <c r="D78">
        <v>103</v>
      </c>
      <c r="E78" t="s">
        <v>26</v>
      </c>
      <c r="F78">
        <v>3456</v>
      </c>
      <c r="G78">
        <v>2332</v>
      </c>
      <c r="H78">
        <v>0</v>
      </c>
      <c r="I78">
        <v>219</v>
      </c>
      <c r="J78">
        <v>0</v>
      </c>
      <c r="K78">
        <v>0</v>
      </c>
      <c r="L78">
        <v>0</v>
      </c>
      <c r="M78">
        <v>2100</v>
      </c>
      <c r="N78">
        <v>2100</v>
      </c>
      <c r="O78">
        <v>0</v>
      </c>
      <c r="P78">
        <v>0</v>
      </c>
      <c r="Q78">
        <v>13</v>
      </c>
      <c r="R78" s="1">
        <v>1000000</v>
      </c>
      <c r="S78">
        <v>83.5</v>
      </c>
      <c r="T78">
        <f t="shared" si="2"/>
        <v>67.476851851851848</v>
      </c>
      <c r="U78">
        <f t="shared" si="3"/>
        <v>1</v>
      </c>
    </row>
    <row r="79" spans="1:21" x14ac:dyDescent="0.25">
      <c r="A79" t="s">
        <v>30</v>
      </c>
      <c r="B79">
        <v>42</v>
      </c>
      <c r="C79" t="s">
        <v>27</v>
      </c>
      <c r="D79">
        <v>104</v>
      </c>
      <c r="E79" t="s">
        <v>26</v>
      </c>
      <c r="F79">
        <v>53</v>
      </c>
      <c r="G79">
        <v>42</v>
      </c>
      <c r="H79">
        <v>0</v>
      </c>
      <c r="I79">
        <v>1</v>
      </c>
      <c r="J79">
        <v>0</v>
      </c>
      <c r="K79">
        <v>0</v>
      </c>
      <c r="L79">
        <v>0</v>
      </c>
      <c r="M79">
        <v>41</v>
      </c>
      <c r="N79">
        <v>41</v>
      </c>
      <c r="O79">
        <v>0</v>
      </c>
      <c r="P79">
        <v>0</v>
      </c>
      <c r="Q79">
        <v>0</v>
      </c>
      <c r="R79" s="1">
        <v>6000000</v>
      </c>
      <c r="S79">
        <v>86.9</v>
      </c>
      <c r="T79">
        <f t="shared" si="2"/>
        <v>79.245283018867923</v>
      </c>
      <c r="U79">
        <f t="shared" si="3"/>
        <v>6</v>
      </c>
    </row>
    <row r="80" spans="1:21" x14ac:dyDescent="0.25">
      <c r="A80" t="s">
        <v>30</v>
      </c>
      <c r="B80">
        <v>43</v>
      </c>
      <c r="C80" t="s">
        <v>20</v>
      </c>
      <c r="D80">
        <v>104</v>
      </c>
      <c r="E80" t="s">
        <v>26</v>
      </c>
      <c r="F80">
        <v>5160</v>
      </c>
      <c r="G80">
        <v>4505</v>
      </c>
      <c r="H80">
        <v>0</v>
      </c>
      <c r="I80">
        <v>97</v>
      </c>
      <c r="J80">
        <v>0</v>
      </c>
      <c r="K80">
        <v>0</v>
      </c>
      <c r="L80">
        <v>0</v>
      </c>
      <c r="M80">
        <v>4400</v>
      </c>
      <c r="N80">
        <v>4400</v>
      </c>
      <c r="O80">
        <v>0</v>
      </c>
      <c r="P80">
        <v>0</v>
      </c>
      <c r="Q80">
        <v>8</v>
      </c>
      <c r="R80" s="1">
        <v>2300000</v>
      </c>
      <c r="S80">
        <v>86.4</v>
      </c>
      <c r="T80">
        <f t="shared" si="2"/>
        <v>87.306201550387598</v>
      </c>
      <c r="U80">
        <f t="shared" si="3"/>
        <v>2.2999999999999998</v>
      </c>
    </row>
    <row r="81" spans="1:21" x14ac:dyDescent="0.25">
      <c r="A81" t="s">
        <v>30</v>
      </c>
      <c r="B81">
        <v>43</v>
      </c>
      <c r="C81" t="s">
        <v>27</v>
      </c>
      <c r="D81">
        <v>104</v>
      </c>
      <c r="E81" t="s">
        <v>26</v>
      </c>
      <c r="F81">
        <v>3403</v>
      </c>
      <c r="G81">
        <v>2726</v>
      </c>
      <c r="H81">
        <v>0</v>
      </c>
      <c r="I81">
        <v>61</v>
      </c>
      <c r="J81">
        <v>0</v>
      </c>
      <c r="K81">
        <v>0</v>
      </c>
      <c r="L81">
        <v>0</v>
      </c>
      <c r="M81">
        <v>2659</v>
      </c>
      <c r="N81">
        <v>2659</v>
      </c>
      <c r="O81">
        <v>0</v>
      </c>
      <c r="P81">
        <v>0</v>
      </c>
      <c r="Q81">
        <v>6</v>
      </c>
      <c r="R81" s="1">
        <v>3300000</v>
      </c>
      <c r="S81">
        <v>86.4</v>
      </c>
      <c r="T81">
        <f t="shared" si="2"/>
        <v>80.105789009697332</v>
      </c>
      <c r="U81">
        <f t="shared" si="3"/>
        <v>3.3</v>
      </c>
    </row>
    <row r="82" spans="1:21" x14ac:dyDescent="0.25">
      <c r="A82" t="s">
        <v>30</v>
      </c>
      <c r="B82">
        <v>34</v>
      </c>
      <c r="C82" t="s">
        <v>22</v>
      </c>
      <c r="D82">
        <v>105</v>
      </c>
      <c r="E82" t="s">
        <v>21</v>
      </c>
      <c r="F82">
        <v>1031</v>
      </c>
      <c r="G82">
        <v>840</v>
      </c>
      <c r="H82">
        <v>0</v>
      </c>
      <c r="I82">
        <v>17</v>
      </c>
      <c r="J82">
        <v>0</v>
      </c>
      <c r="K82">
        <v>0</v>
      </c>
      <c r="L82">
        <v>0</v>
      </c>
      <c r="M82">
        <v>819</v>
      </c>
      <c r="N82">
        <v>819</v>
      </c>
      <c r="O82">
        <v>0</v>
      </c>
      <c r="P82">
        <v>0</v>
      </c>
      <c r="Q82">
        <v>3</v>
      </c>
      <c r="R82" s="1">
        <v>7100000</v>
      </c>
      <c r="S82">
        <v>90.4</v>
      </c>
      <c r="T82">
        <f t="shared" si="2"/>
        <v>81.474296799224049</v>
      </c>
      <c r="U82">
        <f t="shared" si="3"/>
        <v>7.1</v>
      </c>
    </row>
    <row r="83" spans="1:21" x14ac:dyDescent="0.25">
      <c r="A83" t="s">
        <v>30</v>
      </c>
      <c r="B83">
        <v>35</v>
      </c>
      <c r="C83" t="s">
        <v>27</v>
      </c>
      <c r="D83">
        <v>105</v>
      </c>
      <c r="E83" t="s">
        <v>21</v>
      </c>
      <c r="F83">
        <v>20736</v>
      </c>
      <c r="G83">
        <v>18729</v>
      </c>
      <c r="H83">
        <v>0</v>
      </c>
      <c r="I83">
        <v>116</v>
      </c>
      <c r="J83">
        <v>0</v>
      </c>
      <c r="K83">
        <v>0</v>
      </c>
      <c r="L83">
        <v>0</v>
      </c>
      <c r="M83">
        <v>18600</v>
      </c>
      <c r="N83">
        <v>18600</v>
      </c>
      <c r="O83">
        <v>0</v>
      </c>
      <c r="P83">
        <v>0</v>
      </c>
      <c r="Q83">
        <v>13</v>
      </c>
      <c r="R83" s="1">
        <v>3000000</v>
      </c>
      <c r="S83">
        <v>90.5</v>
      </c>
      <c r="T83">
        <f t="shared" si="2"/>
        <v>90.321180555555557</v>
      </c>
      <c r="U83">
        <f t="shared" si="3"/>
        <v>3</v>
      </c>
    </row>
    <row r="84" spans="1:21" x14ac:dyDescent="0.25">
      <c r="A84" t="s">
        <v>30</v>
      </c>
      <c r="B84">
        <v>35</v>
      </c>
      <c r="C84" t="s">
        <v>27</v>
      </c>
      <c r="D84">
        <v>105</v>
      </c>
      <c r="E84" t="s">
        <v>21</v>
      </c>
      <c r="F84">
        <v>20736</v>
      </c>
      <c r="G84">
        <v>18833</v>
      </c>
      <c r="H84">
        <v>0</v>
      </c>
      <c r="I84">
        <v>124</v>
      </c>
      <c r="J84">
        <v>0</v>
      </c>
      <c r="K84">
        <v>0</v>
      </c>
      <c r="L84">
        <v>0</v>
      </c>
      <c r="M84">
        <v>18700</v>
      </c>
      <c r="N84">
        <v>18700</v>
      </c>
      <c r="O84">
        <v>0</v>
      </c>
      <c r="P84">
        <v>0</v>
      </c>
      <c r="Q84">
        <v>9</v>
      </c>
      <c r="R84" s="1">
        <v>2900000</v>
      </c>
      <c r="S84">
        <v>90.5</v>
      </c>
      <c r="T84">
        <f t="shared" si="2"/>
        <v>90.822723765432102</v>
      </c>
      <c r="U84">
        <f t="shared" si="3"/>
        <v>2.9</v>
      </c>
    </row>
    <row r="85" spans="1:21" x14ac:dyDescent="0.25">
      <c r="A85" t="s">
        <v>30</v>
      </c>
      <c r="B85">
        <v>35</v>
      </c>
      <c r="C85" t="s">
        <v>22</v>
      </c>
      <c r="D85">
        <v>105</v>
      </c>
      <c r="E85" t="s">
        <v>21</v>
      </c>
      <c r="F85">
        <v>4129</v>
      </c>
      <c r="G85">
        <v>3363</v>
      </c>
      <c r="H85">
        <v>0</v>
      </c>
      <c r="I85">
        <v>69</v>
      </c>
      <c r="J85">
        <v>0</v>
      </c>
      <c r="K85">
        <v>0</v>
      </c>
      <c r="L85">
        <v>0</v>
      </c>
      <c r="M85">
        <v>3281</v>
      </c>
      <c r="N85">
        <v>3281</v>
      </c>
      <c r="O85">
        <v>0</v>
      </c>
      <c r="P85">
        <v>0</v>
      </c>
      <c r="Q85">
        <v>14</v>
      </c>
      <c r="R85" s="1">
        <v>4000000</v>
      </c>
      <c r="S85">
        <v>90.5</v>
      </c>
      <c r="T85">
        <f t="shared" si="2"/>
        <v>81.44829256478566</v>
      </c>
      <c r="U85">
        <f t="shared" si="3"/>
        <v>4</v>
      </c>
    </row>
    <row r="86" spans="1:21" x14ac:dyDescent="0.25">
      <c r="A86" t="s">
        <v>30</v>
      </c>
      <c r="B86">
        <v>35</v>
      </c>
      <c r="C86" t="s">
        <v>28</v>
      </c>
      <c r="D86">
        <v>105</v>
      </c>
      <c r="E86" t="s">
        <v>21</v>
      </c>
      <c r="F86">
        <v>6912</v>
      </c>
      <c r="G86">
        <v>5869</v>
      </c>
      <c r="H86">
        <v>0</v>
      </c>
      <c r="I86">
        <v>59</v>
      </c>
      <c r="J86">
        <v>0</v>
      </c>
      <c r="K86">
        <v>0</v>
      </c>
      <c r="L86">
        <v>0</v>
      </c>
      <c r="M86">
        <v>5800</v>
      </c>
      <c r="N86">
        <v>5800</v>
      </c>
      <c r="O86">
        <v>0</v>
      </c>
      <c r="P86">
        <v>0</v>
      </c>
      <c r="Q86">
        <v>10</v>
      </c>
      <c r="R86" s="1">
        <v>2300000</v>
      </c>
      <c r="S86">
        <v>90.5</v>
      </c>
      <c r="T86">
        <f t="shared" si="2"/>
        <v>84.910300925925924</v>
      </c>
      <c r="U86">
        <f t="shared" si="3"/>
        <v>2.2999999999999998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Pinheiro Morais</dc:creator>
  <cp:lastModifiedBy>Daniel Pinheiro Morais</cp:lastModifiedBy>
  <dcterms:created xsi:type="dcterms:W3CDTF">2026-01-15T17:26:51Z</dcterms:created>
  <dcterms:modified xsi:type="dcterms:W3CDTF">2026-01-15T17:30:41Z</dcterms:modified>
</cp:coreProperties>
</file>